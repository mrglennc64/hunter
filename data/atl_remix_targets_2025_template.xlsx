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b val="1"/>
      <color rgb="00166534"/>
    </font>
    <font>
      <b val="1"/>
      <color rgb="00854D0E"/>
    </font>
    <font>
      <color rgb="00991B1B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00C851"/>
        </patternFill>
      </fill>
    </dxf>
    <dxf>
      <font>
        <b val="1"/>
      </font>
      <fill>
        <patternFill patternType="solid">
          <fgColor rgb="00CCFFDD"/>
        </patternFill>
      </fill>
    </dxf>
    <dxf>
      <font>
        <color rgb="00FFFFFF"/>
      </font>
      <fill>
        <patternFill patternType="solid">
          <fgColor rgb="00EF4444"/>
        </patternFill>
      </fill>
    </dxf>
    <dxf>
      <fill>
        <patternFill patternType="solid">
          <fgColor rgb="00FEF08A"/>
        </patternFill>
      </fill>
    </dxf>
    <dxf>
      <font>
        <b val="1"/>
      </font>
      <fill>
        <patternFill patternType="solid">
          <fgColor rgb="00FB92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13" customWidth="1" min="4" max="4"/>
    <col width="14" customWidth="1" min="5" max="5"/>
    <col width="15" customWidth="1" min="6" max="6"/>
    <col width="14" customWidth="1" min="7" max="7"/>
    <col width="20" customWidth="1" min="8" max="8"/>
    <col width="12" customWidth="1" min="9" max="9"/>
    <col width="13" customWidth="1" min="10" max="10"/>
    <col width="22" customWidth="1" min="11" max="11"/>
    <col width="22" customWidth="1" min="12" max="12"/>
    <col width="18" customWidth="1" min="13" max="13"/>
  </cols>
  <sheetData>
    <row r="1" ht="32" customHeight="1">
      <c r="A1" s="1" t="inlineStr">
        <is>
          <t>Artist</t>
        </is>
      </c>
      <c r="B1" s="1" t="inlineStr">
        <is>
          <t>Track</t>
        </is>
      </c>
      <c r="C1" s="1" t="inlineStr">
        <is>
          <t>ISRC</t>
        </is>
      </c>
      <c r="D1" s="1" t="inlineStr">
        <is>
          <t>Sniper Score</t>
        </is>
      </c>
      <c r="E1" s="1" t="inlineStr">
        <is>
          <t>SX ISRC Link</t>
        </is>
      </c>
      <c r="F1" s="1" t="inlineStr">
        <is>
          <t>SX Name Search</t>
        </is>
      </c>
      <c r="G1" s="1" t="inlineStr">
        <is>
          <t>MusicBrainz</t>
        </is>
      </c>
      <c r="H1" s="1" t="inlineStr">
        <is>
          <t>Songview (ASCAP+BMI)</t>
        </is>
      </c>
      <c r="I1" s="1" t="inlineStr">
        <is>
          <t>YouTube</t>
        </is>
      </c>
      <c r="J1" s="1" t="inlineStr">
        <is>
          <t>Release Date</t>
        </is>
      </c>
      <c r="K1" s="1" t="inlineStr">
        <is>
          <t>BB Eligibility</t>
        </is>
      </c>
      <c r="L1" s="1" t="inlineStr">
        <is>
          <t>Manual Check Notes</t>
        </is>
      </c>
      <c r="M1" s="1" t="inlineStr">
        <is>
          <t>Estimated Recovery</t>
        </is>
      </c>
    </row>
    <row r="2" ht="20" customHeight="1">
      <c r="A2" s="2" t="inlineStr">
        <is>
          <t>Latto</t>
        </is>
      </c>
      <c r="B2" s="2" t="inlineStr">
        <is>
          <t>Sunday Service (Remix) ft. Megan Thee Stallion &amp; Flo Milli</t>
        </is>
      </c>
      <c r="C2" s="2" t="inlineStr"/>
      <c r="D2" s="2" t="n">
        <v>0</v>
      </c>
      <c r="E2" s="2" t="inlineStr">
        <is>
          <t>—</t>
        </is>
      </c>
      <c r="F2" s="2">
        <f>HYPERLINK("https://isrc.soundexchange.com/#/search?searchType=name&amp;query="&amp;ENCODEURL(A2&amp;" "&amp;B2),"🔍 Name Search")</f>
        <v/>
      </c>
      <c r="G2" s="2">
        <f>HYPERLINK("https://musicbrainz.org/search?query="&amp;ENCODEURL(A2&amp;" "&amp;B2)&amp;"&amp;type=recording","🎵 MusicBrainz")</f>
        <v/>
      </c>
      <c r="H2" s="2">
        <f>HYPERLINK("https://repertoire.bmi.com/search?title="&amp;ENCODEURL(B2)&amp;"&amp;searchIn=songview","📋 Songview")</f>
        <v/>
      </c>
      <c r="I2" s="2">
        <f>HYPERLINK("https://www.youtube.com/results?search_query="&amp;ENCODEURL(A2&amp;" "&amp;B2),"▶ YouTube")</f>
        <v/>
      </c>
      <c r="J2" s="2" t="inlineStr">
        <is>
          <t>2023-06-02</t>
        </is>
      </c>
      <c r="K2" s="3" t="inlineStr">
        <is>
          <t>FULL (2.8yr old)</t>
        </is>
      </c>
      <c r="L2" t="inlineStr"/>
      <c r="M2" t="inlineStr"/>
    </row>
    <row r="3" ht="20" customHeight="1">
      <c r="A3" s="4" t="inlineStr">
        <is>
          <t>Latto</t>
        </is>
      </c>
      <c r="B3" s="4" t="inlineStr">
        <is>
          <t>Housekeeping Knows (ft. Latto)</t>
        </is>
      </c>
      <c r="C3" s="4" t="inlineStr"/>
      <c r="D3" s="4" t="n">
        <v>0</v>
      </c>
      <c r="E3" s="4" t="inlineStr">
        <is>
          <t>—</t>
        </is>
      </c>
      <c r="F3" s="4">
        <f>HYPERLINK("https://isrc.soundexchange.com/#/search?searchType=name&amp;query="&amp;ENCODEURL(A3&amp;" "&amp;B3),"🔍 Name Search")</f>
        <v/>
      </c>
      <c r="G3" s="4">
        <f>HYPERLINK("https://musicbrainz.org/search?query="&amp;ENCODEURL(A3&amp;" "&amp;B3)&amp;"&amp;type=recording","🎵 MusicBrainz")</f>
        <v/>
      </c>
      <c r="H3" s="4">
        <f>HYPERLINK("https://repertoire.bmi.com/search?title="&amp;ENCODEURL(B3)&amp;"&amp;searchIn=songview","📋 Songview")</f>
        <v/>
      </c>
      <c r="I3" s="4">
        <f>HYPERLINK("https://www.youtube.com/results?search_query="&amp;ENCODEURL(A3&amp;" "&amp;B3),"▶ YouTube")</f>
        <v/>
      </c>
      <c r="J3" s="4" t="inlineStr"/>
      <c r="K3" s="4" t="inlineStr">
        <is>
          <t>UNKNOWN</t>
        </is>
      </c>
      <c r="L3" t="inlineStr"/>
      <c r="M3" t="inlineStr"/>
    </row>
    <row r="4" ht="20" customHeight="1">
      <c r="A4" s="2" t="inlineStr">
        <is>
          <t>Janelle Monáe</t>
        </is>
      </c>
      <c r="B4" s="2" t="inlineStr">
        <is>
          <t>Champagne Shit (Remix) ft. Latto &amp; Quavo</t>
        </is>
      </c>
      <c r="C4" s="2" t="inlineStr">
        <is>
          <t>USAT22305075</t>
        </is>
      </c>
      <c r="D4" s="2" t="n">
        <v>0</v>
      </c>
      <c r="E4" s="2">
        <f>HYPERLINK("https://isrc.soundexchange.com/#/search?searchType=code&amp;query=USAT22305075","🔍 ISRC Search")</f>
        <v/>
      </c>
      <c r="F4" s="2">
        <f>HYPERLINK("https://isrc.soundexchange.com/#/search?searchType=name&amp;query="&amp;ENCODEURL(A4&amp;" "&amp;B4),"🔍 Name Search")</f>
        <v/>
      </c>
      <c r="G4" s="2">
        <f>HYPERLINK("https://musicbrainz.org/isrc/USAT22305075","🎵 MusicBrainz")</f>
        <v/>
      </c>
      <c r="H4" s="2">
        <f>HYPERLINK("https://repertoire.bmi.com/search?title="&amp;ENCODEURL(B4)&amp;"&amp;searchIn=songview","📋 Songview")</f>
        <v/>
      </c>
      <c r="I4" s="2">
        <f>HYPERLINK("https://www.youtube.com/results?search_query="&amp;ENCODEURL(A4&amp;" "&amp;B4),"▶ YouTube")</f>
        <v/>
      </c>
      <c r="J4" s="2" t="inlineStr"/>
      <c r="K4" s="2" t="inlineStr">
        <is>
          <t>UNKNOWN</t>
        </is>
      </c>
      <c r="L4" t="inlineStr"/>
      <c r="M4" t="inlineStr"/>
    </row>
    <row r="5" ht="20" customHeight="1">
      <c r="A5" s="4" t="inlineStr">
        <is>
          <t>Latto</t>
        </is>
      </c>
      <c r="B5" s="4" t="inlineStr">
        <is>
          <t>Somebody</t>
        </is>
      </c>
      <c r="C5" s="4" t="inlineStr">
        <is>
          <t>USRC12500481</t>
        </is>
      </c>
      <c r="D5" s="4" t="n">
        <v>0</v>
      </c>
      <c r="E5" s="4">
        <f>HYPERLINK("https://isrc.soundexchange.com/#/search?searchType=code&amp;query=USRC12500481","🔍 ISRC Search")</f>
        <v/>
      </c>
      <c r="F5" s="4">
        <f>HYPERLINK("https://isrc.soundexchange.com/#/search?searchType=name&amp;query="&amp;ENCODEURL(A5&amp;" "&amp;B5),"🔍 Name Search")</f>
        <v/>
      </c>
      <c r="G5" s="4">
        <f>HYPERLINK("https://musicbrainz.org/isrc/USRC12500481","🎵 MusicBrainz")</f>
        <v/>
      </c>
      <c r="H5" s="4">
        <f>HYPERLINK("https://repertoire.bmi.com/search?title="&amp;ENCODEURL(B5)&amp;"&amp;searchIn=songview","📋 Songview")</f>
        <v/>
      </c>
      <c r="I5" s="4">
        <f>HYPERLINK("https://www.youtube.com/results?search_query="&amp;ENCODEURL(A5&amp;" "&amp;B5),"▶ YouTube")</f>
        <v/>
      </c>
      <c r="J5" s="4" t="inlineStr">
        <is>
          <t>2025-09-03</t>
        </is>
      </c>
      <c r="K5" s="5" t="inlineStr">
        <is>
          <t>FULL (0.6yr old)</t>
        </is>
      </c>
      <c r="L5" t="inlineStr"/>
      <c r="M5" t="inlineStr"/>
    </row>
    <row r="6" ht="20" customHeight="1">
      <c r="A6" s="2" t="inlineStr">
        <is>
          <t>Latto</t>
        </is>
      </c>
      <c r="B6" s="2" t="inlineStr">
        <is>
          <t>Go Girl</t>
        </is>
      </c>
      <c r="C6" s="2" t="inlineStr">
        <is>
          <t>USUM72509046</t>
        </is>
      </c>
      <c r="D6" s="2" t="n">
        <v>0</v>
      </c>
      <c r="E6" s="2">
        <f>HYPERLINK("https://isrc.soundexchange.com/#/search?searchType=code&amp;query=USUM72509046","🔍 ISRC Search")</f>
        <v/>
      </c>
      <c r="F6" s="2">
        <f>HYPERLINK("https://isrc.soundexchange.com/#/search?searchType=name&amp;query="&amp;ENCODEURL(A6&amp;" "&amp;B6),"🔍 Name Search")</f>
        <v/>
      </c>
      <c r="G6" s="2">
        <f>HYPERLINK("https://musicbrainz.org/isrc/USUM72509046","🎵 MusicBrainz")</f>
        <v/>
      </c>
      <c r="H6" s="2">
        <f>HYPERLINK("https://repertoire.bmi.com/search?title="&amp;ENCODEURL(B6)&amp;"&amp;searchIn=songview","📋 Songview")</f>
        <v/>
      </c>
      <c r="I6" s="2">
        <f>HYPERLINK("https://www.youtube.com/results?search_query="&amp;ENCODEURL(A6&amp;" "&amp;B6),"▶ YouTube")</f>
        <v/>
      </c>
      <c r="J6" s="2" t="inlineStr">
        <is>
          <t>2025-11-14</t>
        </is>
      </c>
      <c r="K6" s="3" t="inlineStr">
        <is>
          <t>FULL (0.4yr old)</t>
        </is>
      </c>
      <c r="L6" t="inlineStr"/>
      <c r="M6" t="inlineStr"/>
    </row>
    <row r="7" ht="20" customHeight="1">
      <c r="A7" s="4" t="inlineStr">
        <is>
          <t>Future</t>
        </is>
      </c>
      <c r="B7" s="4" t="inlineStr">
        <is>
          <t>Like That (Remix)</t>
        </is>
      </c>
      <c r="C7" s="4" t="inlineStr"/>
      <c r="D7" s="4" t="n">
        <v>0</v>
      </c>
      <c r="E7" s="4" t="inlineStr">
        <is>
          <t>—</t>
        </is>
      </c>
      <c r="F7" s="4">
        <f>HYPERLINK("https://isrc.soundexchange.com/#/search?searchType=name&amp;query="&amp;ENCODEURL(A7&amp;" "&amp;B7),"🔍 Name Search")</f>
        <v/>
      </c>
      <c r="G7" s="4">
        <f>HYPERLINK("https://musicbrainz.org/search?query="&amp;ENCODEURL(A7&amp;" "&amp;B7)&amp;"&amp;type=recording","🎵 MusicBrainz")</f>
        <v/>
      </c>
      <c r="H7" s="4">
        <f>HYPERLINK("https://repertoire.bmi.com/search?title="&amp;ENCODEURL(B7)&amp;"&amp;searchIn=songview","📋 Songview")</f>
        <v/>
      </c>
      <c r="I7" s="4">
        <f>HYPERLINK("https://www.youtube.com/results?search_query="&amp;ENCODEURL(A7&amp;" "&amp;B7),"▶ YouTube")</f>
        <v/>
      </c>
      <c r="J7" s="4" t="inlineStr"/>
      <c r="K7" s="4" t="inlineStr">
        <is>
          <t>UNKNOWN</t>
        </is>
      </c>
      <c r="L7" t="inlineStr"/>
      <c r="M7" t="inlineStr"/>
    </row>
    <row r="8" ht="20" customHeight="1">
      <c r="A8" s="2" t="inlineStr">
        <is>
          <t>Future</t>
        </is>
      </c>
      <c r="B8" s="2" t="inlineStr">
        <is>
          <t>Lil Demon</t>
        </is>
      </c>
      <c r="C8" s="2" t="inlineStr">
        <is>
          <t>USSM12406727</t>
        </is>
      </c>
      <c r="D8" s="2" t="n">
        <v>0</v>
      </c>
      <c r="E8" s="2">
        <f>HYPERLINK("https://isrc.soundexchange.com/#/search?searchType=code&amp;query=USSM12406727","🔍 ISRC Search")</f>
        <v/>
      </c>
      <c r="F8" s="2">
        <f>HYPERLINK("https://isrc.soundexchange.com/#/search?searchType=name&amp;query="&amp;ENCODEURL(A8&amp;" "&amp;B8),"🔍 Name Search")</f>
        <v/>
      </c>
      <c r="G8" s="2">
        <f>HYPERLINK("https://musicbrainz.org/isrc/USSM12406727","🎵 MusicBrainz")</f>
        <v/>
      </c>
      <c r="H8" s="2">
        <f>HYPERLINK("https://repertoire.bmi.com/search?title="&amp;ENCODEURL(B8)&amp;"&amp;searchIn=songview","📋 Songview")</f>
        <v/>
      </c>
      <c r="I8" s="2">
        <f>HYPERLINK("https://www.youtube.com/results?search_query="&amp;ENCODEURL(A8&amp;" "&amp;B8),"▶ YouTube")</f>
        <v/>
      </c>
      <c r="J8" s="2" t="inlineStr">
        <is>
          <t>2024-09-20</t>
        </is>
      </c>
      <c r="K8" s="3" t="inlineStr">
        <is>
          <t>FULL (1.5yr old)</t>
        </is>
      </c>
      <c r="L8" t="inlineStr"/>
      <c r="M8" t="inlineStr"/>
    </row>
    <row r="9" ht="20" customHeight="1">
      <c r="A9" s="4" t="inlineStr">
        <is>
          <t>Future</t>
        </is>
      </c>
      <c r="B9" s="4" t="inlineStr">
        <is>
          <t>LIKE ME ft. 42 Dugg &amp; Lil Baby</t>
        </is>
      </c>
      <c r="C9" s="4" t="inlineStr">
        <is>
          <t>USLD91734838</t>
        </is>
      </c>
      <c r="D9" s="4" t="n">
        <v>0</v>
      </c>
      <c r="E9" s="4">
        <f>HYPERLINK("https://isrc.soundexchange.com/#/search?searchType=code&amp;query=USLD91734838","🔍 ISRC Search")</f>
        <v/>
      </c>
      <c r="F9" s="4">
        <f>HYPERLINK("https://isrc.soundexchange.com/#/search?searchType=name&amp;query="&amp;ENCODEURL(A9&amp;" "&amp;B9),"🔍 Name Search")</f>
        <v/>
      </c>
      <c r="G9" s="4">
        <f>HYPERLINK("https://musicbrainz.org/isrc/USLD91734838","🎵 MusicBrainz")</f>
        <v/>
      </c>
      <c r="H9" s="4">
        <f>HYPERLINK("https://repertoire.bmi.com/search?title="&amp;ENCODEURL(B9)&amp;"&amp;searchIn=songview","📋 Songview")</f>
        <v/>
      </c>
      <c r="I9" s="4">
        <f>HYPERLINK("https://www.youtube.com/results?search_query="&amp;ENCODEURL(A9&amp;" "&amp;B9),"▶ YouTube")</f>
        <v/>
      </c>
      <c r="J9" s="4" t="inlineStr">
        <is>
          <t>2021-10-22</t>
        </is>
      </c>
      <c r="K9" s="6" t="inlineStr">
        <is>
          <t>PARTIAL (2021)</t>
        </is>
      </c>
      <c r="L9" t="inlineStr"/>
      <c r="M9" t="inlineStr"/>
    </row>
    <row r="10" ht="20" customHeight="1">
      <c r="A10" s="2" t="inlineStr">
        <is>
          <t>Future</t>
        </is>
      </c>
      <c r="B10" s="2" t="inlineStr">
        <is>
          <t>WAIT FOR U (Remix)</t>
        </is>
      </c>
      <c r="C10" s="2" t="inlineStr"/>
      <c r="D10" s="2" t="n">
        <v>0</v>
      </c>
      <c r="E10" s="2" t="inlineStr">
        <is>
          <t>—</t>
        </is>
      </c>
      <c r="F10" s="2">
        <f>HYPERLINK("https://isrc.soundexchange.com/#/search?searchType=name&amp;query="&amp;ENCODEURL(A10&amp;" "&amp;B10),"🔍 Name Search")</f>
        <v/>
      </c>
      <c r="G10" s="2">
        <f>HYPERLINK("https://musicbrainz.org/search?query="&amp;ENCODEURL(A10&amp;" "&amp;B10)&amp;"&amp;type=recording","🎵 MusicBrainz")</f>
        <v/>
      </c>
      <c r="H10" s="2">
        <f>HYPERLINK("https://repertoire.bmi.com/search?title="&amp;ENCODEURL(B10)&amp;"&amp;searchIn=songview","📋 Songview")</f>
        <v/>
      </c>
      <c r="I10" s="2">
        <f>HYPERLINK("https://www.youtube.com/results?search_query="&amp;ENCODEURL(A10&amp;" "&amp;B10),"▶ YouTube")</f>
        <v/>
      </c>
      <c r="J10" s="2" t="inlineStr"/>
      <c r="K10" s="2" t="inlineStr">
        <is>
          <t>UNKNOWN</t>
        </is>
      </c>
      <c r="L10" t="inlineStr"/>
      <c r="M10" t="inlineStr"/>
    </row>
    <row r="11" ht="20" customHeight="1">
      <c r="A11" s="4" t="inlineStr">
        <is>
          <t>Gunna</t>
        </is>
      </c>
      <c r="B11" s="4" t="inlineStr">
        <is>
          <t>wgft (Remix) ft. Burna Boy</t>
        </is>
      </c>
      <c r="C11" s="4" t="inlineStr"/>
      <c r="D11" s="4" t="n">
        <v>0</v>
      </c>
      <c r="E11" s="4" t="inlineStr">
        <is>
          <t>—</t>
        </is>
      </c>
      <c r="F11" s="4">
        <f>HYPERLINK("https://isrc.soundexchange.com/#/search?searchType=name&amp;query="&amp;ENCODEURL(A11&amp;" "&amp;B11),"🔍 Name Search")</f>
        <v/>
      </c>
      <c r="G11" s="4">
        <f>HYPERLINK("https://musicbrainz.org/search?query="&amp;ENCODEURL(A11&amp;" "&amp;B11)&amp;"&amp;type=recording","🎵 MusicBrainz")</f>
        <v/>
      </c>
      <c r="H11" s="4">
        <f>HYPERLINK("https://repertoire.bmi.com/search?title="&amp;ENCODEURL(B11)&amp;"&amp;searchIn=songview","📋 Songview")</f>
        <v/>
      </c>
      <c r="I11" s="4">
        <f>HYPERLINK("https://www.youtube.com/results?search_query="&amp;ENCODEURL(A11&amp;" "&amp;B11),"▶ YouTube")</f>
        <v/>
      </c>
      <c r="J11" s="4" t="inlineStr"/>
      <c r="K11" s="4" t="inlineStr">
        <is>
          <t>UNKNOWN</t>
        </is>
      </c>
      <c r="L11" t="inlineStr"/>
      <c r="M11" t="inlineStr"/>
    </row>
    <row r="12" ht="20" customHeight="1">
      <c r="A12" s="2" t="inlineStr">
        <is>
          <t>Gunna</t>
        </is>
      </c>
      <c r="B12" s="2" t="inlineStr">
        <is>
          <t>forever be mine ft. Wizkid</t>
        </is>
      </c>
      <c r="C12" s="2" t="inlineStr">
        <is>
          <t>USAT22505840</t>
        </is>
      </c>
      <c r="D12" s="2" t="n">
        <v>0</v>
      </c>
      <c r="E12" s="2">
        <f>HYPERLINK("https://isrc.soundexchange.com/#/search?searchType=code&amp;query=USAT22505840","🔍 ISRC Search")</f>
        <v/>
      </c>
      <c r="F12" s="2">
        <f>HYPERLINK("https://isrc.soundexchange.com/#/search?searchType=name&amp;query="&amp;ENCODEURL(A12&amp;" "&amp;B12),"🔍 Name Search")</f>
        <v/>
      </c>
      <c r="G12" s="2">
        <f>HYPERLINK("https://musicbrainz.org/isrc/USAT22505840","🎵 MusicBrainz")</f>
        <v/>
      </c>
      <c r="H12" s="2">
        <f>HYPERLINK("https://repertoire.bmi.com/search?title="&amp;ENCODEURL(B12)&amp;"&amp;searchIn=songview","📋 Songview")</f>
        <v/>
      </c>
      <c r="I12" s="2">
        <f>HYPERLINK("https://www.youtube.com/results?search_query="&amp;ENCODEURL(A12&amp;" "&amp;B12),"▶ YouTube")</f>
        <v/>
      </c>
      <c r="J12" s="2" t="inlineStr">
        <is>
          <t>2025-08-07</t>
        </is>
      </c>
      <c r="K12" s="3" t="inlineStr">
        <is>
          <t>FULL (0.6yr old)</t>
        </is>
      </c>
      <c r="L12" t="inlineStr"/>
      <c r="M12" t="inlineStr"/>
    </row>
    <row r="13" ht="20" customHeight="1">
      <c r="A13" s="4" t="inlineStr">
        <is>
          <t>Gunna</t>
        </is>
      </c>
      <c r="B13" s="4" t="inlineStr">
        <is>
          <t>Prada Dem ft. Offset</t>
        </is>
      </c>
      <c r="C13" s="4" t="inlineStr">
        <is>
          <t>USAT22401724</t>
        </is>
      </c>
      <c r="D13" s="4" t="n">
        <v>0</v>
      </c>
      <c r="E13" s="4">
        <f>HYPERLINK("https://isrc.soundexchange.com/#/search?searchType=code&amp;query=USAT22401724","🔍 ISRC Search")</f>
        <v/>
      </c>
      <c r="F13" s="4">
        <f>HYPERLINK("https://isrc.soundexchange.com/#/search?searchType=name&amp;query="&amp;ENCODEURL(A13&amp;" "&amp;B13),"🔍 Name Search")</f>
        <v/>
      </c>
      <c r="G13" s="4">
        <f>HYPERLINK("https://musicbrainz.org/isrc/USAT22401724","🎵 MusicBrainz")</f>
        <v/>
      </c>
      <c r="H13" s="4">
        <f>HYPERLINK("https://repertoire.bmi.com/search?title="&amp;ENCODEURL(B13)&amp;"&amp;searchIn=songview","📋 Songview")</f>
        <v/>
      </c>
      <c r="I13" s="4">
        <f>HYPERLINK("https://www.youtube.com/results?search_query="&amp;ENCODEURL(A13&amp;" "&amp;B13),"▶ YouTube")</f>
        <v/>
      </c>
      <c r="J13" s="4" t="inlineStr">
        <is>
          <t>2024-03-15</t>
        </is>
      </c>
      <c r="K13" s="5" t="inlineStr">
        <is>
          <t>FULL (2.0yr old)</t>
        </is>
      </c>
      <c r="L13" t="inlineStr"/>
      <c r="M13" t="inlineStr"/>
    </row>
    <row r="14" ht="20" customHeight="1">
      <c r="A14" s="2" t="inlineStr">
        <is>
          <t>Gunna</t>
        </is>
      </c>
      <c r="B14" s="2" t="inlineStr">
        <is>
          <t>him all along</t>
        </is>
      </c>
      <c r="C14" s="2" t="inlineStr">
        <is>
          <t>USAT22409581</t>
        </is>
      </c>
      <c r="D14" s="2" t="n">
        <v>0</v>
      </c>
      <c r="E14" s="2">
        <f>HYPERLINK("https://isrc.soundexchange.com/#/search?searchType=code&amp;query=USAT22409581","🔍 ISRC Search")</f>
        <v/>
      </c>
      <c r="F14" s="2">
        <f>HYPERLINK("https://isrc.soundexchange.com/#/search?searchType=name&amp;query="&amp;ENCODEURL(A14&amp;" "&amp;B14),"🔍 Name Search")</f>
        <v/>
      </c>
      <c r="G14" s="2">
        <f>HYPERLINK("https://musicbrainz.org/isrc/USAT22409581","🎵 MusicBrainz")</f>
        <v/>
      </c>
      <c r="H14" s="2">
        <f>HYPERLINK("https://repertoire.bmi.com/search?title="&amp;ENCODEURL(B14)&amp;"&amp;searchIn=songview","📋 Songview")</f>
        <v/>
      </c>
      <c r="I14" s="2">
        <f>HYPERLINK("https://www.youtube.com/results?search_query="&amp;ENCODEURL(A14&amp;" "&amp;B14),"▶ YouTube")</f>
        <v/>
      </c>
      <c r="J14" s="2" t="inlineStr">
        <is>
          <t>2024-10-18</t>
        </is>
      </c>
      <c r="K14" s="3" t="inlineStr">
        <is>
          <t>FULL (1.4yr old)</t>
        </is>
      </c>
      <c r="L14" t="inlineStr"/>
      <c r="M14" t="inlineStr"/>
    </row>
    <row r="15" ht="20" customHeight="1">
      <c r="A15" s="4" t="inlineStr">
        <is>
          <t>Gunna</t>
        </is>
      </c>
      <c r="B15" s="4" t="inlineStr">
        <is>
          <t>whatsapp (wassam)</t>
        </is>
      </c>
      <c r="C15" s="4" t="inlineStr">
        <is>
          <t>USAT22403306</t>
        </is>
      </c>
      <c r="D15" s="4" t="n">
        <v>0</v>
      </c>
      <c r="E15" s="4">
        <f>HYPERLINK("https://isrc.soundexchange.com/#/search?searchType=code&amp;query=USAT22403306","🔍 ISRC Search")</f>
        <v/>
      </c>
      <c r="F15" s="4">
        <f>HYPERLINK("https://isrc.soundexchange.com/#/search?searchType=name&amp;query="&amp;ENCODEURL(A15&amp;" "&amp;B15),"🔍 Name Search")</f>
        <v/>
      </c>
      <c r="G15" s="4">
        <f>HYPERLINK("https://musicbrainz.org/isrc/USAT22403306","🎵 MusicBrainz")</f>
        <v/>
      </c>
      <c r="H15" s="4">
        <f>HYPERLINK("https://repertoire.bmi.com/search?title="&amp;ENCODEURL(B15)&amp;"&amp;searchIn=songview","📋 Songview")</f>
        <v/>
      </c>
      <c r="I15" s="4">
        <f>HYPERLINK("https://www.youtube.com/results?search_query="&amp;ENCODEURL(A15&amp;" "&amp;B15),"▶ YouTube")</f>
        <v/>
      </c>
      <c r="J15" s="4" t="inlineStr">
        <is>
          <t>2024-05-10</t>
        </is>
      </c>
      <c r="K15" s="5" t="inlineStr">
        <is>
          <t>FULL (1.9yr old)</t>
        </is>
      </c>
      <c r="L15" t="inlineStr"/>
      <c r="M15" t="inlineStr"/>
    </row>
    <row r="16" ht="20" customHeight="1">
      <c r="A16" s="2" t="inlineStr">
        <is>
          <t>Gunna</t>
        </is>
      </c>
      <c r="B16" s="2" t="inlineStr">
        <is>
          <t>Speed</t>
        </is>
      </c>
      <c r="C16" s="2" t="inlineStr">
        <is>
          <t>QMCE31902043</t>
        </is>
      </c>
      <c r="D16" s="2" t="n">
        <v>0</v>
      </c>
      <c r="E16" s="2">
        <f>HYPERLINK("https://isrc.soundexchange.com/#/search?searchType=code&amp;query=QMCE31902043","🔍 ISRC Search")</f>
        <v/>
      </c>
      <c r="F16" s="2">
        <f>HYPERLINK("https://isrc.soundexchange.com/#/search?searchType=name&amp;query="&amp;ENCODEURL(A16&amp;" "&amp;B16),"🔍 Name Search")</f>
        <v/>
      </c>
      <c r="G16" s="2">
        <f>HYPERLINK("https://musicbrainz.org/isrc/QMCE31902043","🎵 MusicBrainz")</f>
        <v/>
      </c>
      <c r="H16" s="2">
        <f>HYPERLINK("https://repertoire.bmi.com/search?title="&amp;ENCODEURL(B16)&amp;"&amp;searchIn=songview","📋 Songview")</f>
        <v/>
      </c>
      <c r="I16" s="2">
        <f>HYPERLINK("https://www.youtube.com/results?search_query="&amp;ENCODEURL(A16&amp;" "&amp;B16),"▶ YouTube")</f>
        <v/>
      </c>
      <c r="J16" s="2" t="inlineStr">
        <is>
          <t>2019-02-21</t>
        </is>
      </c>
      <c r="K16" s="7" t="inlineStr">
        <is>
          <t>PARTIAL (2019)</t>
        </is>
      </c>
      <c r="L16" t="inlineStr"/>
      <c r="M16" t="inlineStr"/>
    </row>
    <row r="17" ht="20" customHeight="1">
      <c r="A17" s="4" t="inlineStr">
        <is>
          <t>Gunna</t>
        </is>
      </c>
      <c r="B17" s="4" t="inlineStr">
        <is>
          <t>won't stop</t>
        </is>
      </c>
      <c r="C17" s="4" t="inlineStr">
        <is>
          <t>USAT22504361</t>
        </is>
      </c>
      <c r="D17" s="4" t="n">
        <v>0</v>
      </c>
      <c r="E17" s="4">
        <f>HYPERLINK("https://isrc.soundexchange.com/#/search?searchType=code&amp;query=USAT22504361","🔍 ISRC Search")</f>
        <v/>
      </c>
      <c r="F17" s="4">
        <f>HYPERLINK("https://isrc.soundexchange.com/#/search?searchType=name&amp;query="&amp;ENCODEURL(A17&amp;" "&amp;B17),"🔍 Name Search")</f>
        <v/>
      </c>
      <c r="G17" s="4">
        <f>HYPERLINK("https://musicbrainz.org/isrc/USAT22504361","🎵 MusicBrainz")</f>
        <v/>
      </c>
      <c r="H17" s="4">
        <f>HYPERLINK("https://repertoire.bmi.com/search?title="&amp;ENCODEURL(B17)&amp;"&amp;searchIn=songview","📋 Songview")</f>
        <v/>
      </c>
      <c r="I17" s="4">
        <f>HYPERLINK("https://www.youtube.com/results?search_query="&amp;ENCODEURL(A17&amp;" "&amp;B17),"▶ YouTube")</f>
        <v/>
      </c>
      <c r="J17" s="4" t="inlineStr">
        <is>
          <t>2025-06-13</t>
        </is>
      </c>
      <c r="K17" s="5" t="inlineStr">
        <is>
          <t>FULL (0.8yr old)</t>
        </is>
      </c>
      <c r="L17" t="inlineStr"/>
      <c r="M17" t="inlineStr"/>
    </row>
    <row r="18" ht="20" customHeight="1">
      <c r="A18" s="2" t="inlineStr">
        <is>
          <t>Anycia</t>
        </is>
      </c>
      <c r="B18" s="2" t="inlineStr">
        <is>
          <t>Never Need (Remix) ft. GloRilla &amp; KARRAHBOOO</t>
        </is>
      </c>
      <c r="C18" s="2" t="inlineStr">
        <is>
          <t>USRC12300967</t>
        </is>
      </c>
      <c r="D18" s="2" t="n">
        <v>0</v>
      </c>
      <c r="E18" s="2">
        <f>HYPERLINK("https://isrc.soundexchange.com/#/search?searchType=code&amp;query=USRC12300967","🔍 ISRC Search")</f>
        <v/>
      </c>
      <c r="F18" s="2">
        <f>HYPERLINK("https://isrc.soundexchange.com/#/search?searchType=name&amp;query="&amp;ENCODEURL(A18&amp;" "&amp;B18),"🔍 Name Search")</f>
        <v/>
      </c>
      <c r="G18" s="2">
        <f>HYPERLINK("https://musicbrainz.org/isrc/USRC12300967","🎵 MusicBrainz")</f>
        <v/>
      </c>
      <c r="H18" s="2">
        <f>HYPERLINK("https://repertoire.bmi.com/search?title="&amp;ENCODEURL(B18)&amp;"&amp;searchIn=songview","📋 Songview")</f>
        <v/>
      </c>
      <c r="I18" s="2">
        <f>HYPERLINK("https://www.youtube.com/results?search_query="&amp;ENCODEURL(A18&amp;" "&amp;B18),"▶ YouTube")</f>
        <v/>
      </c>
      <c r="J18" s="2" t="inlineStr">
        <is>
          <t>2025-05-02</t>
        </is>
      </c>
      <c r="K18" s="3" t="inlineStr">
        <is>
          <t>FULL (0.9yr old)</t>
        </is>
      </c>
      <c r="L18" t="inlineStr"/>
      <c r="M18" t="inlineStr"/>
    </row>
    <row r="19" ht="20" customHeight="1">
      <c r="A19" s="4" t="inlineStr">
        <is>
          <t>Anycia</t>
        </is>
      </c>
      <c r="B19" s="4" t="inlineStr">
        <is>
          <t>BACK OUTSIDE ft. Latto</t>
        </is>
      </c>
      <c r="C19" s="4" t="inlineStr">
        <is>
          <t>QZJG52414720</t>
        </is>
      </c>
      <c r="D19" s="4" t="n">
        <v>0</v>
      </c>
      <c r="E19" s="4">
        <f>HYPERLINK("https://isrc.soundexchange.com/#/search?searchType=code&amp;query=QZJG52414720","🔍 ISRC Search")</f>
        <v/>
      </c>
      <c r="F19" s="4">
        <f>HYPERLINK("https://isrc.soundexchange.com/#/search?searchType=name&amp;query="&amp;ENCODEURL(A19&amp;" "&amp;B19),"🔍 Name Search")</f>
        <v/>
      </c>
      <c r="G19" s="4">
        <f>HYPERLINK("https://musicbrainz.org/isrc/QZJG52414720","🎵 MusicBrainz")</f>
        <v/>
      </c>
      <c r="H19" s="4">
        <f>HYPERLINK("https://repertoire.bmi.com/search?title="&amp;ENCODEURL(B19)&amp;"&amp;searchIn=songview","📋 Songview")</f>
        <v/>
      </c>
      <c r="I19" s="4">
        <f>HYPERLINK("https://www.youtube.com/results?search_query="&amp;ENCODEURL(A19&amp;" "&amp;B19),"▶ YouTube")</f>
        <v/>
      </c>
      <c r="J19" s="4" t="inlineStr">
        <is>
          <t>2024-01-19</t>
        </is>
      </c>
      <c r="K19" s="5" t="inlineStr">
        <is>
          <t>FULL (2.2yr old)</t>
        </is>
      </c>
      <c r="L19" t="inlineStr"/>
      <c r="M19" t="inlineStr"/>
    </row>
    <row r="20" ht="20" customHeight="1">
      <c r="A20" s="2" t="inlineStr">
        <is>
          <t>Monaleo</t>
        </is>
      </c>
      <c r="B20" s="2" t="inlineStr">
        <is>
          <t>Don Who Leo (Blanco &amp; Reposado Remix) ft. Skilla Baby &amp; Anycia</t>
        </is>
      </c>
      <c r="C20" s="2" t="inlineStr">
        <is>
          <t>QMBZ92441044</t>
        </is>
      </c>
      <c r="D20" s="2" t="n">
        <v>0</v>
      </c>
      <c r="E20" s="2">
        <f>HYPERLINK("https://isrc.soundexchange.com/#/search?searchType=code&amp;query=QMBZ92441044","🔍 ISRC Search")</f>
        <v/>
      </c>
      <c r="F20" s="2">
        <f>HYPERLINK("https://isrc.soundexchange.com/#/search?searchType=name&amp;query="&amp;ENCODEURL(A20&amp;" "&amp;B20),"🔍 Name Search")</f>
        <v/>
      </c>
      <c r="G20" s="2">
        <f>HYPERLINK("https://musicbrainz.org/isrc/QMBZ92441044","🎵 MusicBrainz")</f>
        <v/>
      </c>
      <c r="H20" s="2">
        <f>HYPERLINK("https://repertoire.bmi.com/search?title="&amp;ENCODEURL(B20)&amp;"&amp;searchIn=songview","📋 Songview")</f>
        <v/>
      </c>
      <c r="I20" s="2">
        <f>HYPERLINK("https://www.youtube.com/results?search_query="&amp;ENCODEURL(A20&amp;" "&amp;B20),"▶ YouTube")</f>
        <v/>
      </c>
      <c r="J20" s="2" t="inlineStr">
        <is>
          <t>2024-08-30</t>
        </is>
      </c>
      <c r="K20" s="3" t="inlineStr">
        <is>
          <t>FULL (1.6yr old)</t>
        </is>
      </c>
      <c r="L20" t="inlineStr"/>
      <c r="M20" t="inlineStr"/>
    </row>
    <row r="21" ht="20" customHeight="1">
      <c r="A21" s="4" t="inlineStr">
        <is>
          <t>Anycia</t>
        </is>
      </c>
      <c r="B21" s="4" t="inlineStr">
        <is>
          <t>do it 4 the gram (remix)</t>
        </is>
      </c>
      <c r="C21" s="4" t="inlineStr"/>
      <c r="D21" s="4" t="n">
        <v>0</v>
      </c>
      <c r="E21" s="4" t="inlineStr">
        <is>
          <t>—</t>
        </is>
      </c>
      <c r="F21" s="4">
        <f>HYPERLINK("https://isrc.soundexchange.com/#/search?searchType=name&amp;query="&amp;ENCODEURL(A21&amp;" "&amp;B21),"🔍 Name Search")</f>
        <v/>
      </c>
      <c r="G21" s="4">
        <f>HYPERLINK("https://musicbrainz.org/search?query="&amp;ENCODEURL(A21&amp;" "&amp;B21)&amp;"&amp;type=recording","🎵 MusicBrainz")</f>
        <v/>
      </c>
      <c r="H21" s="4">
        <f>HYPERLINK("https://repertoire.bmi.com/search?title="&amp;ENCODEURL(B21)&amp;"&amp;searchIn=songview","📋 Songview")</f>
        <v/>
      </c>
      <c r="I21" s="4">
        <f>HYPERLINK("https://www.youtube.com/results?search_query="&amp;ENCODEURL(A21&amp;" "&amp;B21),"▶ YouTube")</f>
        <v/>
      </c>
      <c r="J21" s="4" t="inlineStr"/>
      <c r="K21" s="4" t="inlineStr">
        <is>
          <t>UNKNOWN</t>
        </is>
      </c>
      <c r="L21" t="inlineStr"/>
      <c r="M21" t="inlineStr"/>
    </row>
    <row r="22" ht="20" customHeight="1">
      <c r="A22" s="2" t="inlineStr">
        <is>
          <t>Anycia</t>
        </is>
      </c>
      <c r="B22" s="2" t="inlineStr">
        <is>
          <t>Put Up</t>
        </is>
      </c>
      <c r="C22" s="2" t="inlineStr">
        <is>
          <t>QZNB82593111</t>
        </is>
      </c>
      <c r="D22" s="2" t="n">
        <v>0</v>
      </c>
      <c r="E22" s="2">
        <f>HYPERLINK("https://isrc.soundexchange.com/#/search?searchType=code&amp;query=QZNB82593111","🔍 ISRC Search")</f>
        <v/>
      </c>
      <c r="F22" s="2">
        <f>HYPERLINK("https://isrc.soundexchange.com/#/search?searchType=name&amp;query="&amp;ENCODEURL(A22&amp;" "&amp;B22),"🔍 Name Search")</f>
        <v/>
      </c>
      <c r="G22" s="2">
        <f>HYPERLINK("https://musicbrainz.org/isrc/QZNB82593111","🎵 MusicBrainz")</f>
        <v/>
      </c>
      <c r="H22" s="2">
        <f>HYPERLINK("https://repertoire.bmi.com/search?title="&amp;ENCODEURL(B22)&amp;"&amp;searchIn=songview","📋 Songview")</f>
        <v/>
      </c>
      <c r="I22" s="2">
        <f>HYPERLINK("https://www.youtube.com/results?search_query="&amp;ENCODEURL(A22&amp;" "&amp;B22),"▶ YouTube")</f>
        <v/>
      </c>
      <c r="J22" s="2" t="inlineStr">
        <is>
          <t>2025-07-18</t>
        </is>
      </c>
      <c r="K22" s="3" t="inlineStr">
        <is>
          <t>FULL (0.7yr old)</t>
        </is>
      </c>
      <c r="L22" t="inlineStr"/>
      <c r="M22" t="inlineStr"/>
    </row>
    <row r="23" ht="20" customHeight="1">
      <c r="A23" s="4" t="inlineStr">
        <is>
          <t>Anycia</t>
        </is>
      </c>
      <c r="B23" s="4" t="inlineStr">
        <is>
          <t>SMOKE YOU OUT</t>
        </is>
      </c>
      <c r="C23" s="4" t="inlineStr">
        <is>
          <t>QZNMX2482870</t>
        </is>
      </c>
      <c r="D23" s="4" t="n">
        <v>0</v>
      </c>
      <c r="E23" s="4">
        <f>HYPERLINK("https://isrc.soundexchange.com/#/search?searchType=code&amp;query=QZNMX2482870","🔍 ISRC Search")</f>
        <v/>
      </c>
      <c r="F23" s="4">
        <f>HYPERLINK("https://isrc.soundexchange.com/#/search?searchType=name&amp;query="&amp;ENCODEURL(A23&amp;" "&amp;B23),"🔍 Name Search")</f>
        <v/>
      </c>
      <c r="G23" s="4">
        <f>HYPERLINK("https://musicbrainz.org/isrc/QZNMX2482870","🎵 MusicBrainz")</f>
        <v/>
      </c>
      <c r="H23" s="4">
        <f>HYPERLINK("https://repertoire.bmi.com/search?title="&amp;ENCODEURL(B23)&amp;"&amp;searchIn=songview","📋 Songview")</f>
        <v/>
      </c>
      <c r="I23" s="4">
        <f>HYPERLINK("https://www.youtube.com/results?search_query="&amp;ENCODEURL(A23&amp;" "&amp;B23),"▶ YouTube")</f>
        <v/>
      </c>
      <c r="J23" s="4" t="inlineStr">
        <is>
          <t>2024-11-13</t>
        </is>
      </c>
      <c r="K23" s="5" t="inlineStr">
        <is>
          <t>FULL (1.4yr old)</t>
        </is>
      </c>
      <c r="L23" t="inlineStr"/>
      <c r="M23" t="inlineStr"/>
    </row>
    <row r="24" ht="20" customHeight="1">
      <c r="A24" s="2" t="inlineStr">
        <is>
          <t>Hunxho</t>
        </is>
      </c>
      <c r="B24" s="2" t="inlineStr">
        <is>
          <t>Your Friends ft. Summer Walker</t>
        </is>
      </c>
      <c r="C24" s="2" t="inlineStr">
        <is>
          <t>USAT22401142</t>
        </is>
      </c>
      <c r="D24" s="2" t="n">
        <v>0</v>
      </c>
      <c r="E24" s="2">
        <f>HYPERLINK("https://isrc.soundexchange.com/#/search?searchType=code&amp;query=USAT22401142","🔍 ISRC Search")</f>
        <v/>
      </c>
      <c r="F24" s="2">
        <f>HYPERLINK("https://isrc.soundexchange.com/#/search?searchType=name&amp;query="&amp;ENCODEURL(A24&amp;" "&amp;B24),"🔍 Name Search")</f>
        <v/>
      </c>
      <c r="G24" s="2">
        <f>HYPERLINK("https://musicbrainz.org/isrc/USAT22401142","🎵 MusicBrainz")</f>
        <v/>
      </c>
      <c r="H24" s="2">
        <f>HYPERLINK("https://repertoire.bmi.com/search?title="&amp;ENCODEURL(B24)&amp;"&amp;searchIn=songview","📋 Songview")</f>
        <v/>
      </c>
      <c r="I24" s="2">
        <f>HYPERLINK("https://www.youtube.com/results?search_query="&amp;ENCODEURL(A24&amp;" "&amp;B24),"▶ YouTube")</f>
        <v/>
      </c>
      <c r="J24" s="2" t="inlineStr">
        <is>
          <t>2024-02-22</t>
        </is>
      </c>
      <c r="K24" s="3" t="inlineStr">
        <is>
          <t>FULL (2.1yr old)</t>
        </is>
      </c>
      <c r="L24" t="inlineStr"/>
      <c r="M24" t="inlineStr"/>
    </row>
    <row r="25" ht="20" customHeight="1">
      <c r="A25" s="4" t="inlineStr">
        <is>
          <t>Hunxho</t>
        </is>
      </c>
      <c r="B25" s="4" t="inlineStr">
        <is>
          <t>By Tomorrow</t>
        </is>
      </c>
      <c r="C25" s="4" t="inlineStr">
        <is>
          <t>USAT22310269</t>
        </is>
      </c>
      <c r="D25" s="4" t="n">
        <v>0</v>
      </c>
      <c r="E25" s="4">
        <f>HYPERLINK("https://isrc.soundexchange.com/#/search?searchType=code&amp;query=USAT22310269","🔍 ISRC Search")</f>
        <v/>
      </c>
      <c r="F25" s="4">
        <f>HYPERLINK("https://isrc.soundexchange.com/#/search?searchType=name&amp;query="&amp;ENCODEURL(A25&amp;" "&amp;B25),"🔍 Name Search")</f>
        <v/>
      </c>
      <c r="G25" s="4">
        <f>HYPERLINK("https://musicbrainz.org/isrc/USAT22310269","🎵 MusicBrainz")</f>
        <v/>
      </c>
      <c r="H25" s="4">
        <f>HYPERLINK("https://repertoire.bmi.com/search?title="&amp;ENCODEURL(B25)&amp;"&amp;searchIn=songview","📋 Songview")</f>
        <v/>
      </c>
      <c r="I25" s="4">
        <f>HYPERLINK("https://www.youtube.com/results?search_query="&amp;ENCODEURL(A25&amp;" "&amp;B25),"▶ YouTube")</f>
        <v/>
      </c>
      <c r="J25" s="4" t="inlineStr">
        <is>
          <t>2024-02-02</t>
        </is>
      </c>
      <c r="K25" s="5" t="inlineStr">
        <is>
          <t>FULL (2.1yr old)</t>
        </is>
      </c>
      <c r="L25" t="inlineStr"/>
      <c r="M25" t="inlineStr"/>
    </row>
    <row r="26" ht="20" customHeight="1">
      <c r="A26" s="2" t="inlineStr">
        <is>
          <t>Hunxho</t>
        </is>
      </c>
      <c r="B26" s="2" t="inlineStr">
        <is>
          <t>make it work</t>
        </is>
      </c>
      <c r="C26" s="2" t="inlineStr">
        <is>
          <t>QZTGW2600233</t>
        </is>
      </c>
      <c r="D26" s="2" t="n">
        <v>0</v>
      </c>
      <c r="E26" s="2">
        <f>HYPERLINK("https://isrc.soundexchange.com/#/search?searchType=code&amp;query=QZTGW2600233","🔍 ISRC Search")</f>
        <v/>
      </c>
      <c r="F26" s="2">
        <f>HYPERLINK("https://isrc.soundexchange.com/#/search?searchType=name&amp;query="&amp;ENCODEURL(A26&amp;" "&amp;B26),"🔍 Name Search")</f>
        <v/>
      </c>
      <c r="G26" s="2">
        <f>HYPERLINK("https://musicbrainz.org/isrc/QZTGW2600233","🎵 MusicBrainz")</f>
        <v/>
      </c>
      <c r="H26" s="2">
        <f>HYPERLINK("https://repertoire.bmi.com/search?title="&amp;ENCODEURL(B26)&amp;"&amp;searchIn=songview","📋 Songview")</f>
        <v/>
      </c>
      <c r="I26" s="2">
        <f>HYPERLINK("https://www.youtube.com/results?search_query="&amp;ENCODEURL(A26&amp;" "&amp;B26),"▶ YouTube")</f>
        <v/>
      </c>
      <c r="J26" s="2" t="inlineStr">
        <is>
          <t>2026-02-20</t>
        </is>
      </c>
      <c r="K26" s="3" t="inlineStr">
        <is>
          <t>FULL (0.1yr old)</t>
        </is>
      </c>
      <c r="L26" t="inlineStr"/>
      <c r="M26" t="inlineStr"/>
    </row>
    <row r="27" ht="20" customHeight="1">
      <c r="A27" s="4" t="inlineStr">
        <is>
          <t>Hunxho</t>
        </is>
      </c>
      <c r="B27" s="4" t="inlineStr">
        <is>
          <t>Independent</t>
        </is>
      </c>
      <c r="C27" s="4" t="inlineStr">
        <is>
          <t>QZRD92508200</t>
        </is>
      </c>
      <c r="D27" s="4" t="n">
        <v>0</v>
      </c>
      <c r="E27" s="4">
        <f>HYPERLINK("https://isrc.soundexchange.com/#/search?searchType=code&amp;query=QZRD92508200","🔍 ISRC Search")</f>
        <v/>
      </c>
      <c r="F27" s="4">
        <f>HYPERLINK("https://isrc.soundexchange.com/#/search?searchType=name&amp;query="&amp;ENCODEURL(A27&amp;" "&amp;B27),"🔍 Name Search")</f>
        <v/>
      </c>
      <c r="G27" s="4">
        <f>HYPERLINK("https://musicbrainz.org/isrc/QZRD92508200","🎵 MusicBrainz")</f>
        <v/>
      </c>
      <c r="H27" s="4">
        <f>HYPERLINK("https://repertoire.bmi.com/search?title="&amp;ENCODEURL(B27)&amp;"&amp;searchIn=songview","📋 Songview")</f>
        <v/>
      </c>
      <c r="I27" s="4">
        <f>HYPERLINK("https://www.youtube.com/results?search_query="&amp;ENCODEURL(A27&amp;" "&amp;B27),"▶ YouTube")</f>
        <v/>
      </c>
      <c r="J27" s="4" t="inlineStr">
        <is>
          <t>2025-10-17</t>
        </is>
      </c>
      <c r="K27" s="5" t="inlineStr">
        <is>
          <t>FULL (0.4yr old)</t>
        </is>
      </c>
      <c r="L27" t="inlineStr"/>
      <c r="M27" t="inlineStr"/>
    </row>
    <row r="28" ht="20" customHeight="1">
      <c r="A28" s="2" t="inlineStr">
        <is>
          <t>MazziOmerta</t>
        </is>
      </c>
      <c r="B28" s="2" t="inlineStr">
        <is>
          <t>Ramadan (feat. Hunxho)</t>
        </is>
      </c>
      <c r="C28" s="2" t="inlineStr"/>
      <c r="D28" s="2" t="n">
        <v>0</v>
      </c>
      <c r="E28" s="2" t="inlineStr">
        <is>
          <t>—</t>
        </is>
      </c>
      <c r="F28" s="2">
        <f>HYPERLINK("https://isrc.soundexchange.com/#/search?searchType=name&amp;query="&amp;ENCODEURL(A28&amp;" "&amp;B28),"🔍 Name Search")</f>
        <v/>
      </c>
      <c r="G28" s="2">
        <f>HYPERLINK("https://musicbrainz.org/search?query="&amp;ENCODEURL(A28&amp;" "&amp;B28)&amp;"&amp;type=recording","🎵 MusicBrainz")</f>
        <v/>
      </c>
      <c r="H28" s="2">
        <f>HYPERLINK("https://repertoire.bmi.com/search?title="&amp;ENCODEURL(B28)&amp;"&amp;searchIn=songview","📋 Songview")</f>
        <v/>
      </c>
      <c r="I28" s="2">
        <f>HYPERLINK("https://www.youtube.com/results?search_query="&amp;ENCODEURL(A28&amp;" "&amp;B28),"▶ YouTube")</f>
        <v/>
      </c>
      <c r="J28" s="2" t="inlineStr"/>
      <c r="K28" s="2" t="inlineStr">
        <is>
          <t>UNKNOWN</t>
        </is>
      </c>
      <c r="L28" t="inlineStr"/>
      <c r="M28" t="inlineStr"/>
    </row>
    <row r="29" ht="20" customHeight="1">
      <c r="A29" s="4" t="inlineStr">
        <is>
          <t>Hunxho</t>
        </is>
      </c>
      <c r="B29" s="4" t="inlineStr">
        <is>
          <t>Feeling You</t>
        </is>
      </c>
      <c r="C29" s="4" t="inlineStr">
        <is>
          <t>GBCUW2500011</t>
        </is>
      </c>
      <c r="D29" s="4" t="n">
        <v>0</v>
      </c>
      <c r="E29" s="4">
        <f>HYPERLINK("https://isrc.soundexchange.com/#/search?searchType=code&amp;query=GBCUW2500011","🔍 ISRC Search")</f>
        <v/>
      </c>
      <c r="F29" s="4">
        <f>HYPERLINK("https://isrc.soundexchange.com/#/search?searchType=name&amp;query="&amp;ENCODEURL(A29&amp;" "&amp;B29),"🔍 Name Search")</f>
        <v/>
      </c>
      <c r="G29" s="4">
        <f>HYPERLINK("https://musicbrainz.org/isrc/GBCUW2500011","🎵 MusicBrainz")</f>
        <v/>
      </c>
      <c r="H29" s="4">
        <f>HYPERLINK("https://repertoire.bmi.com/search?title="&amp;ENCODEURL(B29)&amp;"&amp;searchIn=songview","📋 Songview")</f>
        <v/>
      </c>
      <c r="I29" s="4">
        <f>HYPERLINK("https://www.youtube.com/results?search_query="&amp;ENCODEURL(A29&amp;" "&amp;B29),"▶ YouTube")</f>
        <v/>
      </c>
      <c r="J29" s="4" t="inlineStr">
        <is>
          <t>2025-07-09</t>
        </is>
      </c>
      <c r="K29" s="5" t="inlineStr">
        <is>
          <t>FULL (0.7yr old)</t>
        </is>
      </c>
      <c r="L29" t="inlineStr"/>
      <c r="M29" t="inlineStr"/>
    </row>
    <row r="30" ht="20" customHeight="1">
      <c r="A30" s="2" t="inlineStr">
        <is>
          <t>BabyDrill</t>
        </is>
      </c>
      <c r="B30" s="2" t="inlineStr">
        <is>
          <t>Knocked Off</t>
        </is>
      </c>
      <c r="C30" s="2" t="inlineStr">
        <is>
          <t>USAT22600782</t>
        </is>
      </c>
      <c r="D30" s="2" t="n">
        <v>0</v>
      </c>
      <c r="E30" s="2">
        <f>HYPERLINK("https://isrc.soundexchange.com/#/search?searchType=code&amp;query=USAT22600782","🔍 ISRC Search")</f>
        <v/>
      </c>
      <c r="F30" s="2">
        <f>HYPERLINK("https://isrc.soundexchange.com/#/search?searchType=name&amp;query="&amp;ENCODEURL(A30&amp;" "&amp;B30),"🔍 Name Search")</f>
        <v/>
      </c>
      <c r="G30" s="2">
        <f>HYPERLINK("https://musicbrainz.org/isrc/USAT22600782","🎵 MusicBrainz")</f>
        <v/>
      </c>
      <c r="H30" s="2">
        <f>HYPERLINK("https://repertoire.bmi.com/search?title="&amp;ENCODEURL(B30)&amp;"&amp;searchIn=songview","📋 Songview")</f>
        <v/>
      </c>
      <c r="I30" s="2">
        <f>HYPERLINK("https://www.youtube.com/results?search_query="&amp;ENCODEURL(A30&amp;" "&amp;B30),"▶ YouTube")</f>
        <v/>
      </c>
      <c r="J30" s="2" t="inlineStr">
        <is>
          <t>2026-02-25</t>
        </is>
      </c>
      <c r="K30" s="3" t="inlineStr">
        <is>
          <t>FULL (0.1yr old)</t>
        </is>
      </c>
      <c r="L30" t="inlineStr"/>
      <c r="M30" t="inlineStr"/>
    </row>
    <row r="31" ht="20" customHeight="1">
      <c r="A31" s="4" t="inlineStr">
        <is>
          <t>Latto</t>
        </is>
      </c>
      <c r="B31" s="4" t="inlineStr">
        <is>
          <t>ISSA PARTY ft. BabyDrill</t>
        </is>
      </c>
      <c r="C31" s="4" t="inlineStr">
        <is>
          <t>USRC12301774</t>
        </is>
      </c>
      <c r="D31" s="4" t="n">
        <v>0</v>
      </c>
      <c r="E31" s="4">
        <f>HYPERLINK("https://isrc.soundexchange.com/#/search?searchType=code&amp;query=USRC12301774","🔍 ISRC Search")</f>
        <v/>
      </c>
      <c r="F31" s="4">
        <f>HYPERLINK("https://isrc.soundexchange.com/#/search?searchType=name&amp;query="&amp;ENCODEURL(A31&amp;" "&amp;B31),"🔍 Name Search")</f>
        <v/>
      </c>
      <c r="G31" s="4">
        <f>HYPERLINK("https://musicbrainz.org/isrc/USRC12301774","🎵 MusicBrainz")</f>
        <v/>
      </c>
      <c r="H31" s="4">
        <f>HYPERLINK("https://repertoire.bmi.com/search?title="&amp;ENCODEURL(B31)&amp;"&amp;searchIn=songview","📋 Songview")</f>
        <v/>
      </c>
      <c r="I31" s="4">
        <f>HYPERLINK("https://www.youtube.com/results?search_query="&amp;ENCODEURL(A31&amp;" "&amp;B31),"▶ YouTube")</f>
        <v/>
      </c>
      <c r="J31" s="4" t="inlineStr">
        <is>
          <t>2023-09-29</t>
        </is>
      </c>
      <c r="K31" s="5" t="inlineStr">
        <is>
          <t>FULL (2.5yr old)</t>
        </is>
      </c>
      <c r="L31" t="inlineStr"/>
      <c r="M31" t="inlineStr"/>
    </row>
    <row r="32" ht="20" customHeight="1">
      <c r="A32" s="2" t="inlineStr">
        <is>
          <t>BabyDrill</t>
        </is>
      </c>
      <c r="B32" s="2" t="inlineStr">
        <is>
          <t>Just Want You ft. Hunxho</t>
        </is>
      </c>
      <c r="C32" s="2" t="inlineStr">
        <is>
          <t>USRC12400161</t>
        </is>
      </c>
      <c r="D32" s="2" t="n">
        <v>0</v>
      </c>
      <c r="E32" s="2">
        <f>HYPERLINK("https://isrc.soundexchange.com/#/search?searchType=code&amp;query=USRC12400161","🔍 ISRC Search")</f>
        <v/>
      </c>
      <c r="F32" s="2">
        <f>HYPERLINK("https://isrc.soundexchange.com/#/search?searchType=name&amp;query="&amp;ENCODEURL(A32&amp;" "&amp;B32),"🔍 Name Search")</f>
        <v/>
      </c>
      <c r="G32" s="2">
        <f>HYPERLINK("https://musicbrainz.org/isrc/USRC12400161","🎵 MusicBrainz")</f>
        <v/>
      </c>
      <c r="H32" s="2">
        <f>HYPERLINK("https://repertoire.bmi.com/search?title="&amp;ENCODEURL(B32)&amp;"&amp;searchIn=songview","📋 Songview")</f>
        <v/>
      </c>
      <c r="I32" s="2">
        <f>HYPERLINK("https://www.youtube.com/results?search_query="&amp;ENCODEURL(A32&amp;" "&amp;B32),"▶ YouTube")</f>
        <v/>
      </c>
      <c r="J32" s="2" t="inlineStr">
        <is>
          <t>2024-02-07</t>
        </is>
      </c>
      <c r="K32" s="3" t="inlineStr">
        <is>
          <t>FULL (2.1yr old)</t>
        </is>
      </c>
      <c r="L32" t="inlineStr"/>
      <c r="M32" t="inlineStr"/>
    </row>
    <row r="33" ht="20" customHeight="1">
      <c r="A33" s="4" t="inlineStr">
        <is>
          <t>BabyDrill</t>
        </is>
      </c>
      <c r="B33" s="4" t="inlineStr">
        <is>
          <t>30 Deep ft. 21 Savage</t>
        </is>
      </c>
      <c r="C33" s="4" t="inlineStr">
        <is>
          <t>USRC12500976</t>
        </is>
      </c>
      <c r="D33" s="4" t="n">
        <v>0</v>
      </c>
      <c r="E33" s="4">
        <f>HYPERLINK("https://isrc.soundexchange.com/#/search?searchType=code&amp;query=USRC12500976","🔍 ISRC Search")</f>
        <v/>
      </c>
      <c r="F33" s="4">
        <f>HYPERLINK("https://isrc.soundexchange.com/#/search?searchType=name&amp;query="&amp;ENCODEURL(A33&amp;" "&amp;B33),"🔍 Name Search")</f>
        <v/>
      </c>
      <c r="G33" s="4">
        <f>HYPERLINK("https://musicbrainz.org/isrc/USRC12500976","🎵 MusicBrainz")</f>
        <v/>
      </c>
      <c r="H33" s="4">
        <f>HYPERLINK("https://repertoire.bmi.com/search?title="&amp;ENCODEURL(B33)&amp;"&amp;searchIn=songview","📋 Songview")</f>
        <v/>
      </c>
      <c r="I33" s="4">
        <f>HYPERLINK("https://www.youtube.com/results?search_query="&amp;ENCODEURL(A33&amp;" "&amp;B33),"▶ YouTube")</f>
        <v/>
      </c>
      <c r="J33" s="4" t="inlineStr">
        <is>
          <t>2025-05-21</t>
        </is>
      </c>
      <c r="K33" s="5" t="inlineStr">
        <is>
          <t>FULL (0.8yr old)</t>
        </is>
      </c>
      <c r="L33" t="inlineStr"/>
      <c r="M33" t="inlineStr"/>
    </row>
    <row r="34" ht="20" customHeight="1">
      <c r="A34" s="2" t="inlineStr">
        <is>
          <t>BabyDrill</t>
        </is>
      </c>
      <c r="B34" s="2" t="inlineStr">
        <is>
          <t>Wicked West</t>
        </is>
      </c>
      <c r="C34" s="2" t="inlineStr">
        <is>
          <t>USRC12500023</t>
        </is>
      </c>
      <c r="D34" s="2" t="n">
        <v>0</v>
      </c>
      <c r="E34" s="2">
        <f>HYPERLINK("https://isrc.soundexchange.com/#/search?searchType=code&amp;query=USRC12500023","🔍 ISRC Search")</f>
        <v/>
      </c>
      <c r="F34" s="2">
        <f>HYPERLINK("https://isrc.soundexchange.com/#/search?searchType=name&amp;query="&amp;ENCODEURL(A34&amp;" "&amp;B34),"🔍 Name Search")</f>
        <v/>
      </c>
      <c r="G34" s="2">
        <f>HYPERLINK("https://musicbrainz.org/isrc/USRC12500023","🎵 MusicBrainz")</f>
        <v/>
      </c>
      <c r="H34" s="2">
        <f>HYPERLINK("https://repertoire.bmi.com/search?title="&amp;ENCODEURL(B34)&amp;"&amp;searchIn=songview","📋 Songview")</f>
        <v/>
      </c>
      <c r="I34" s="2">
        <f>HYPERLINK("https://www.youtube.com/results?search_query="&amp;ENCODEURL(A34&amp;" "&amp;B34),"▶ YouTube")</f>
        <v/>
      </c>
      <c r="J34" s="2" t="inlineStr">
        <is>
          <t>2025-01-25</t>
        </is>
      </c>
      <c r="K34" s="3" t="inlineStr">
        <is>
          <t>FULL (1.2yr old)</t>
        </is>
      </c>
      <c r="L34" t="inlineStr"/>
      <c r="M34" t="inlineStr"/>
    </row>
    <row r="35" ht="20" customHeight="1">
      <c r="A35" s="4" t="inlineStr">
        <is>
          <t>BabyDrill</t>
        </is>
      </c>
      <c r="B35" s="4" t="inlineStr">
        <is>
          <t>Murk Sum</t>
        </is>
      </c>
      <c r="C35" s="4" t="inlineStr">
        <is>
          <t>USRC12500656</t>
        </is>
      </c>
      <c r="D35" s="4" t="n">
        <v>0</v>
      </c>
      <c r="E35" s="4">
        <f>HYPERLINK("https://isrc.soundexchange.com/#/search?searchType=code&amp;query=USRC12500656","🔍 ISRC Search")</f>
        <v/>
      </c>
      <c r="F35" s="4">
        <f>HYPERLINK("https://isrc.soundexchange.com/#/search?searchType=name&amp;query="&amp;ENCODEURL(A35&amp;" "&amp;B35),"🔍 Name Search")</f>
        <v/>
      </c>
      <c r="G35" s="4">
        <f>HYPERLINK("https://musicbrainz.org/isrc/USRC12500656","🎵 MusicBrainz")</f>
        <v/>
      </c>
      <c r="H35" s="4">
        <f>HYPERLINK("https://repertoire.bmi.com/search?title="&amp;ENCODEURL(B35)&amp;"&amp;searchIn=songview","📋 Songview")</f>
        <v/>
      </c>
      <c r="I35" s="4">
        <f>HYPERLINK("https://www.youtube.com/results?search_query="&amp;ENCODEURL(A35&amp;" "&amp;B35),"▶ YouTube")</f>
        <v/>
      </c>
      <c r="J35" s="4" t="inlineStr">
        <is>
          <t>2025-04-16</t>
        </is>
      </c>
      <c r="K35" s="5" t="inlineStr">
        <is>
          <t>FULL (0.9yr old)</t>
        </is>
      </c>
      <c r="L35" t="inlineStr"/>
      <c r="M35" t="inlineStr"/>
    </row>
    <row r="36" ht="20" customHeight="1">
      <c r="A36" s="2" t="inlineStr">
        <is>
          <t>21 Savage</t>
        </is>
      </c>
      <c r="B36" s="2" t="inlineStr">
        <is>
          <t>redrum</t>
        </is>
      </c>
      <c r="C36" s="2" t="inlineStr">
        <is>
          <t>USSM12309186</t>
        </is>
      </c>
      <c r="D36" s="2" t="n">
        <v>0</v>
      </c>
      <c r="E36" s="2">
        <f>HYPERLINK("https://isrc.soundexchange.com/#/search?searchType=code&amp;query=USSM12309186","🔍 ISRC Search")</f>
        <v/>
      </c>
      <c r="F36" s="2">
        <f>HYPERLINK("https://isrc.soundexchange.com/#/search?searchType=name&amp;query="&amp;ENCODEURL(A36&amp;" "&amp;B36),"🔍 Name Search")</f>
        <v/>
      </c>
      <c r="G36" s="2">
        <f>HYPERLINK("https://musicbrainz.org/isrc/USSM12309186","🎵 MusicBrainz")</f>
        <v/>
      </c>
      <c r="H36" s="2">
        <f>HYPERLINK("https://repertoire.bmi.com/search?title="&amp;ENCODEURL(B36)&amp;"&amp;searchIn=songview","📋 Songview")</f>
        <v/>
      </c>
      <c r="I36" s="2">
        <f>HYPERLINK("https://www.youtube.com/results?search_query="&amp;ENCODEURL(A36&amp;" "&amp;B36),"▶ YouTube")</f>
        <v/>
      </c>
      <c r="J36" s="2" t="inlineStr">
        <is>
          <t>2024-01-12</t>
        </is>
      </c>
      <c r="K36" s="3" t="inlineStr">
        <is>
          <t>FULL (2.2yr old)</t>
        </is>
      </c>
      <c r="L36" t="inlineStr"/>
      <c r="M36" t="inlineStr"/>
    </row>
    <row r="37" ht="20" customHeight="1">
      <c r="A37" s="4" t="inlineStr">
        <is>
          <t>21 Savage</t>
        </is>
      </c>
      <c r="B37" s="4" t="inlineStr">
        <is>
          <t>ICED TEA ft. Project Pat &amp; Coupe</t>
        </is>
      </c>
      <c r="C37" s="4" t="inlineStr"/>
      <c r="D37" s="4" t="n">
        <v>0</v>
      </c>
      <c r="E37" s="4" t="inlineStr">
        <is>
          <t>—</t>
        </is>
      </c>
      <c r="F37" s="4">
        <f>HYPERLINK("https://isrc.soundexchange.com/#/search?searchType=name&amp;query="&amp;ENCODEURL(A37&amp;" "&amp;B37),"🔍 Name Search")</f>
        <v/>
      </c>
      <c r="G37" s="4">
        <f>HYPERLINK("https://musicbrainz.org/search?query="&amp;ENCODEURL(A37&amp;" "&amp;B37)&amp;"&amp;type=recording","🎵 MusicBrainz")</f>
        <v/>
      </c>
      <c r="H37" s="4">
        <f>HYPERLINK("https://repertoire.bmi.com/search?title="&amp;ENCODEURL(B37)&amp;"&amp;searchIn=songview","📋 Songview")</f>
        <v/>
      </c>
      <c r="I37" s="4">
        <f>HYPERLINK("https://www.youtube.com/results?search_query="&amp;ENCODEURL(A37&amp;" "&amp;B37),"▶ YouTube")</f>
        <v/>
      </c>
      <c r="J37" s="4" t="inlineStr">
        <is>
          <t>2025-07-18</t>
        </is>
      </c>
      <c r="K37" s="5" t="inlineStr">
        <is>
          <t>FULL (0.7yr old)</t>
        </is>
      </c>
      <c r="L37" t="inlineStr"/>
      <c r="M37" t="inlineStr"/>
    </row>
    <row r="38" ht="20" customHeight="1">
      <c r="A38" s="2" t="inlineStr">
        <is>
          <t>21 Savage</t>
        </is>
      </c>
      <c r="B38" s="2" t="inlineStr">
        <is>
          <t>Nookie (Pu$$y) ft. Sexyy Red</t>
        </is>
      </c>
      <c r="C38" s="2" t="inlineStr">
        <is>
          <t>USSM12501982</t>
        </is>
      </c>
      <c r="D38" s="2" t="n">
        <v>0</v>
      </c>
      <c r="E38" s="2">
        <f>HYPERLINK("https://isrc.soundexchange.com/#/search?searchType=code&amp;query=USSM12501982","🔍 ISRC Search")</f>
        <v/>
      </c>
      <c r="F38" s="2">
        <f>HYPERLINK("https://isrc.soundexchange.com/#/search?searchType=name&amp;query="&amp;ENCODEURL(A38&amp;" "&amp;B38),"🔍 Name Search")</f>
        <v/>
      </c>
      <c r="G38" s="2">
        <f>HYPERLINK("https://musicbrainz.org/isrc/USSM12501982","🎵 MusicBrainz")</f>
        <v/>
      </c>
      <c r="H38" s="2">
        <f>HYPERLINK("https://repertoire.bmi.com/search?title="&amp;ENCODEURL(B38)&amp;"&amp;searchIn=songview","📋 Songview")</f>
        <v/>
      </c>
      <c r="I38" s="2">
        <f>HYPERLINK("https://www.youtube.com/results?search_query="&amp;ENCODEURL(A38&amp;" "&amp;B38),"▶ YouTube")</f>
        <v/>
      </c>
      <c r="J38" s="2" t="inlineStr">
        <is>
          <t>2025-06-26</t>
        </is>
      </c>
      <c r="K38" s="3" t="inlineStr">
        <is>
          <t>FULL (0.7yr old)</t>
        </is>
      </c>
      <c r="L38" t="inlineStr"/>
      <c r="M38" t="inlineStr"/>
    </row>
    <row r="39" ht="20" customHeight="1">
      <c r="A39" s="4" t="inlineStr">
        <is>
          <t>21 Savage</t>
        </is>
      </c>
      <c r="B39" s="4" t="inlineStr">
        <is>
          <t>HA</t>
        </is>
      </c>
      <c r="C39" s="4" t="inlineStr">
        <is>
          <t>USSM12510174</t>
        </is>
      </c>
      <c r="D39" s="4" t="n">
        <v>0</v>
      </c>
      <c r="E39" s="4">
        <f>HYPERLINK("https://isrc.soundexchange.com/#/search?searchType=code&amp;query=USSM12510174","🔍 ISRC Search")</f>
        <v/>
      </c>
      <c r="F39" s="4">
        <f>HYPERLINK("https://isrc.soundexchange.com/#/search?searchType=name&amp;query="&amp;ENCODEURL(A39&amp;" "&amp;B39),"🔍 Name Search")</f>
        <v/>
      </c>
      <c r="G39" s="4">
        <f>HYPERLINK("https://musicbrainz.org/isrc/USSM12510174","🎵 MusicBrainz")</f>
        <v/>
      </c>
      <c r="H39" s="4">
        <f>HYPERLINK("https://repertoire.bmi.com/search?title="&amp;ENCODEURL(B39)&amp;"&amp;searchIn=songview","📋 Songview")</f>
        <v/>
      </c>
      <c r="I39" s="4">
        <f>HYPERLINK("https://www.youtube.com/results?search_query="&amp;ENCODEURL(A39&amp;" "&amp;B39),"▶ YouTube")</f>
        <v/>
      </c>
      <c r="J39" s="4" t="inlineStr">
        <is>
          <t>2025-12-12</t>
        </is>
      </c>
      <c r="K39" s="5" t="inlineStr">
        <is>
          <t>FULL (0.3yr old)</t>
        </is>
      </c>
      <c r="L39" t="inlineStr"/>
      <c r="M39" t="inlineStr"/>
    </row>
    <row r="40" ht="20" customHeight="1">
      <c r="A40" s="2" t="inlineStr">
        <is>
          <t>Central Cee</t>
        </is>
      </c>
      <c r="B40" s="2" t="inlineStr">
        <is>
          <t>BAND4BAND ft. Lil Baby</t>
        </is>
      </c>
      <c r="C40" s="2" t="inlineStr"/>
      <c r="D40" s="2" t="n">
        <v>0</v>
      </c>
      <c r="E40" s="2" t="inlineStr">
        <is>
          <t>—</t>
        </is>
      </c>
      <c r="F40" s="2">
        <f>HYPERLINK("https://isrc.soundexchange.com/#/search?searchType=name&amp;query="&amp;ENCODEURL(A40&amp;" "&amp;B40),"🔍 Name Search")</f>
        <v/>
      </c>
      <c r="G40" s="2">
        <f>HYPERLINK("https://musicbrainz.org/search?query="&amp;ENCODEURL(A40&amp;" "&amp;B40)&amp;"&amp;type=recording","🎵 MusicBrainz")</f>
        <v/>
      </c>
      <c r="H40" s="2">
        <f>HYPERLINK("https://repertoire.bmi.com/search?title="&amp;ENCODEURL(B40)&amp;"&amp;searchIn=songview","📋 Songview")</f>
        <v/>
      </c>
      <c r="I40" s="2">
        <f>HYPERLINK("https://www.youtube.com/results?search_query="&amp;ENCODEURL(A40&amp;" "&amp;B40),"▶ YouTube")</f>
        <v/>
      </c>
      <c r="J40" s="2" t="inlineStr"/>
      <c r="K40" s="2" t="inlineStr">
        <is>
          <t>UNKNOWN</t>
        </is>
      </c>
      <c r="L40" t="inlineStr"/>
      <c r="M40" t="inlineStr"/>
    </row>
    <row r="41" ht="20" customHeight="1">
      <c r="A41" s="4" t="inlineStr">
        <is>
          <t>Lil Baby</t>
        </is>
      </c>
      <c r="B41" s="4" t="inlineStr">
        <is>
          <t>Mrs. Trendsetter</t>
        </is>
      </c>
      <c r="C41" s="4" t="inlineStr">
        <is>
          <t>USUG12507903</t>
        </is>
      </c>
      <c r="D41" s="4" t="n">
        <v>0</v>
      </c>
      <c r="E41" s="4">
        <f>HYPERLINK("https://isrc.soundexchange.com/#/search?searchType=code&amp;query=USUG12507903","🔍 ISRC Search")</f>
        <v/>
      </c>
      <c r="F41" s="4">
        <f>HYPERLINK("https://isrc.soundexchange.com/#/search?searchType=name&amp;query="&amp;ENCODEURL(A41&amp;" "&amp;B41),"🔍 Name Search")</f>
        <v/>
      </c>
      <c r="G41" s="4">
        <f>HYPERLINK("https://musicbrainz.org/isrc/USUG12507903","🎵 MusicBrainz")</f>
        <v/>
      </c>
      <c r="H41" s="4">
        <f>HYPERLINK("https://repertoire.bmi.com/search?title="&amp;ENCODEURL(B41)&amp;"&amp;searchIn=songview","📋 Songview")</f>
        <v/>
      </c>
      <c r="I41" s="4">
        <f>HYPERLINK("https://www.youtube.com/results?search_query="&amp;ENCODEURL(A41&amp;" "&amp;B41),"▶ YouTube")</f>
        <v/>
      </c>
      <c r="J41" s="4" t="inlineStr">
        <is>
          <t>2025-12-03</t>
        </is>
      </c>
      <c r="K41" s="5" t="inlineStr">
        <is>
          <t>FULL (0.3yr old)</t>
        </is>
      </c>
      <c r="L41" t="inlineStr"/>
      <c r="M41" t="inlineStr"/>
    </row>
    <row r="42" ht="20" customHeight="1">
      <c r="A42" s="2" t="inlineStr">
        <is>
          <t>Tkandz</t>
        </is>
      </c>
      <c r="B42" s="2" t="inlineStr">
        <is>
          <t>NOW OR NEVER II ft. Lil Baby</t>
        </is>
      </c>
      <c r="C42" s="2" t="inlineStr"/>
      <c r="D42" s="2" t="n">
        <v>0</v>
      </c>
      <c r="E42" s="2" t="inlineStr">
        <is>
          <t>—</t>
        </is>
      </c>
      <c r="F42" s="2">
        <f>HYPERLINK("https://isrc.soundexchange.com/#/search?searchType=name&amp;query="&amp;ENCODEURL(A42&amp;" "&amp;B42),"🔍 Name Search")</f>
        <v/>
      </c>
      <c r="G42" s="2">
        <f>HYPERLINK("https://musicbrainz.org/search?query="&amp;ENCODEURL(A42&amp;" "&amp;B42)&amp;"&amp;type=recording","🎵 MusicBrainz")</f>
        <v/>
      </c>
      <c r="H42" s="2">
        <f>HYPERLINK("https://repertoire.bmi.com/search?title="&amp;ENCODEURL(B42)&amp;"&amp;searchIn=songview","📋 Songview")</f>
        <v/>
      </c>
      <c r="I42" s="2">
        <f>HYPERLINK("https://www.youtube.com/results?search_query="&amp;ENCODEURL(A42&amp;" "&amp;B42),"▶ YouTube")</f>
        <v/>
      </c>
      <c r="J42" s="2" t="inlineStr"/>
      <c r="K42" s="2" t="inlineStr">
        <is>
          <t>UNKNOWN</t>
        </is>
      </c>
      <c r="L42" t="inlineStr"/>
      <c r="M42" t="inlineStr"/>
    </row>
    <row r="43" ht="20" customHeight="1">
      <c r="A43" s="4" t="inlineStr">
        <is>
          <t>Lil Baby</t>
        </is>
      </c>
      <c r="B43" s="4" t="inlineStr">
        <is>
          <t>Try To Love</t>
        </is>
      </c>
      <c r="C43" s="4" t="inlineStr">
        <is>
          <t>USUG12507907</t>
        </is>
      </c>
      <c r="D43" s="4" t="n">
        <v>0</v>
      </c>
      <c r="E43" s="4">
        <f>HYPERLINK("https://isrc.soundexchange.com/#/search?searchType=code&amp;query=USUG12507907","🔍 ISRC Search")</f>
        <v/>
      </c>
      <c r="F43" s="4">
        <f>HYPERLINK("https://isrc.soundexchange.com/#/search?searchType=name&amp;query="&amp;ENCODEURL(A43&amp;" "&amp;B43),"🔍 Name Search")</f>
        <v/>
      </c>
      <c r="G43" s="4">
        <f>HYPERLINK("https://musicbrainz.org/isrc/USUG12507907","🎵 MusicBrainz")</f>
        <v/>
      </c>
      <c r="H43" s="4">
        <f>HYPERLINK("https://repertoire.bmi.com/search?title="&amp;ENCODEURL(B43)&amp;"&amp;searchIn=songview","📋 Songview")</f>
        <v/>
      </c>
      <c r="I43" s="4">
        <f>HYPERLINK("https://www.youtube.com/results?search_query="&amp;ENCODEURL(A43&amp;" "&amp;B43),"▶ YouTube")</f>
        <v/>
      </c>
      <c r="J43" s="4" t="inlineStr">
        <is>
          <t>2025-11-19</t>
        </is>
      </c>
      <c r="K43" s="5" t="inlineStr">
        <is>
          <t>FULL (0.3yr old)</t>
        </is>
      </c>
      <c r="L43" t="inlineStr"/>
      <c r="M43" t="inlineStr"/>
    </row>
    <row r="44" ht="20" customHeight="1">
      <c r="A44" s="2" t="inlineStr">
        <is>
          <t>Lil Baby</t>
        </is>
      </c>
      <c r="B44" s="2" t="inlineStr">
        <is>
          <t>Plenty ft. YFN Lucci</t>
        </is>
      </c>
      <c r="C44" s="2" t="inlineStr"/>
      <c r="D44" s="2" t="n">
        <v>0</v>
      </c>
      <c r="E44" s="2" t="inlineStr">
        <is>
          <t>—</t>
        </is>
      </c>
      <c r="F44" s="2">
        <f>HYPERLINK("https://isrc.soundexchange.com/#/search?searchType=name&amp;query="&amp;ENCODEURL(A44&amp;" "&amp;B44),"🔍 Name Search")</f>
        <v/>
      </c>
      <c r="G44" s="2">
        <f>HYPERLINK("https://musicbrainz.org/search?query="&amp;ENCODEURL(A44&amp;" "&amp;B44)&amp;"&amp;type=recording","🎵 MusicBrainz")</f>
        <v/>
      </c>
      <c r="H44" s="2">
        <f>HYPERLINK("https://repertoire.bmi.com/search?title="&amp;ENCODEURL(B44)&amp;"&amp;searchIn=songview","📋 Songview")</f>
        <v/>
      </c>
      <c r="I44" s="2">
        <f>HYPERLINK("https://www.youtube.com/results?search_query="&amp;ENCODEURL(A44&amp;" "&amp;B44),"▶ YouTube")</f>
        <v/>
      </c>
      <c r="J44" s="2" t="inlineStr"/>
      <c r="K44" s="2" t="inlineStr">
        <is>
          <t>UNKNOWN</t>
        </is>
      </c>
      <c r="L44" t="inlineStr"/>
      <c r="M44" t="inlineStr"/>
    </row>
    <row r="45" ht="20" customHeight="1">
      <c r="A45" s="4" t="inlineStr">
        <is>
          <t>Lil Baby</t>
        </is>
      </c>
      <c r="B45" s="4" t="inlineStr">
        <is>
          <t>All On Me</t>
        </is>
      </c>
      <c r="C45" s="4" t="inlineStr">
        <is>
          <t>USUG12507896</t>
        </is>
      </c>
      <c r="D45" s="4" t="n">
        <v>0</v>
      </c>
      <c r="E45" s="4">
        <f>HYPERLINK("https://isrc.soundexchange.com/#/search?searchType=code&amp;query=USUG12507896","🔍 ISRC Search")</f>
        <v/>
      </c>
      <c r="F45" s="4">
        <f>HYPERLINK("https://isrc.soundexchange.com/#/search?searchType=name&amp;query="&amp;ENCODEURL(A45&amp;" "&amp;B45),"🔍 Name Search")</f>
        <v/>
      </c>
      <c r="G45" s="4">
        <f>HYPERLINK("https://musicbrainz.org/isrc/USUG12507896","🎵 MusicBrainz")</f>
        <v/>
      </c>
      <c r="H45" s="4">
        <f>HYPERLINK("https://repertoire.bmi.com/search?title="&amp;ENCODEURL(B45)&amp;"&amp;searchIn=songview","📋 Songview")</f>
        <v/>
      </c>
      <c r="I45" s="4">
        <f>HYPERLINK("https://www.youtube.com/results?search_query="&amp;ENCODEURL(A45&amp;" "&amp;B45),"▶ YouTube")</f>
        <v/>
      </c>
      <c r="J45" s="4" t="inlineStr">
        <is>
          <t>2025-12-03</t>
        </is>
      </c>
      <c r="K45" s="5" t="inlineStr">
        <is>
          <t>FULL (0.3yr old)</t>
        </is>
      </c>
      <c r="L45" t="inlineStr"/>
      <c r="M45" t="inlineStr"/>
    </row>
    <row r="46" ht="20" customHeight="1">
      <c r="A46" s="2" t="inlineStr">
        <is>
          <t>Lil Baby</t>
        </is>
      </c>
      <c r="B46" s="2" t="inlineStr">
        <is>
          <t>WHAM</t>
        </is>
      </c>
      <c r="C46" s="2" t="inlineStr"/>
      <c r="D46" s="2" t="n">
        <v>0</v>
      </c>
      <c r="E46" s="2" t="inlineStr">
        <is>
          <t>—</t>
        </is>
      </c>
      <c r="F46" s="2">
        <f>HYPERLINK("https://isrc.soundexchange.com/#/search?searchType=name&amp;query="&amp;ENCODEURL(A46&amp;" "&amp;B46),"🔍 Name Search")</f>
        <v/>
      </c>
      <c r="G46" s="2">
        <f>HYPERLINK("https://musicbrainz.org/search?query="&amp;ENCODEURL(A46&amp;" "&amp;B46)&amp;"&amp;type=recording","🎵 MusicBrainz")</f>
        <v/>
      </c>
      <c r="H46" s="2">
        <f>HYPERLINK("https://repertoire.bmi.com/search?title="&amp;ENCODEURL(B46)&amp;"&amp;searchIn=songview","📋 Songview")</f>
        <v/>
      </c>
      <c r="I46" s="2">
        <f>HYPERLINK("https://www.youtube.com/results?search_query="&amp;ENCODEURL(A46&amp;" "&amp;B46),"▶ YouTube")</f>
        <v/>
      </c>
      <c r="J46" s="2" t="inlineStr"/>
      <c r="K46" s="2" t="inlineStr">
        <is>
          <t>UNKNOWN</t>
        </is>
      </c>
      <c r="L46" t="inlineStr"/>
      <c r="M46" t="inlineStr"/>
    </row>
    <row r="47" ht="20" customHeight="1">
      <c r="A47" s="4" t="inlineStr">
        <is>
          <t>Lil Baby</t>
        </is>
      </c>
      <c r="B47" s="4" t="inlineStr">
        <is>
          <t>F U 2x</t>
        </is>
      </c>
      <c r="C47" s="4" t="inlineStr">
        <is>
          <t>USUG12500004</t>
        </is>
      </c>
      <c r="D47" s="4" t="n">
        <v>0</v>
      </c>
      <c r="E47" s="4">
        <f>HYPERLINK("https://isrc.soundexchange.com/#/search?searchType=code&amp;query=USUG12500004","🔍 ISRC Search")</f>
        <v/>
      </c>
      <c r="F47" s="4">
        <f>HYPERLINK("https://isrc.soundexchange.com/#/search?searchType=name&amp;query="&amp;ENCODEURL(A47&amp;" "&amp;B47),"🔍 Name Search")</f>
        <v/>
      </c>
      <c r="G47" s="4">
        <f>HYPERLINK("https://musicbrainz.org/isrc/USUG12500004","🎵 MusicBrainz")</f>
        <v/>
      </c>
      <c r="H47" s="4">
        <f>HYPERLINK("https://repertoire.bmi.com/search?title="&amp;ENCODEURL(B47)&amp;"&amp;searchIn=songview","📋 Songview")</f>
        <v/>
      </c>
      <c r="I47" s="4">
        <f>HYPERLINK("https://www.youtube.com/results?search_query="&amp;ENCODEURL(A47&amp;" "&amp;B47),"▶ YouTube")</f>
        <v/>
      </c>
      <c r="J47" s="4" t="inlineStr">
        <is>
          <t>2025-01-10</t>
        </is>
      </c>
      <c r="K47" s="5" t="inlineStr">
        <is>
          <t>FULL (1.2yr old)</t>
        </is>
      </c>
      <c r="L47" t="inlineStr"/>
      <c r="M47" t="inlineStr"/>
    </row>
    <row r="48" ht="20" customHeight="1">
      <c r="A48" s="2" t="inlineStr">
        <is>
          <t>Young Thug &amp; Future</t>
        </is>
      </c>
      <c r="B48" s="2" t="inlineStr">
        <is>
          <t>Muhammad Ali ft. Lil Baby</t>
        </is>
      </c>
      <c r="C48" s="2" t="inlineStr">
        <is>
          <t>USZEG1501232</t>
        </is>
      </c>
      <c r="D48" s="2" t="n">
        <v>0</v>
      </c>
      <c r="E48" s="2">
        <f>HYPERLINK("https://isrc.soundexchange.com/#/search?searchType=code&amp;query=USZEG1501232","🔍 ISRC Search")</f>
        <v/>
      </c>
      <c r="F48" s="2">
        <f>HYPERLINK("https://isrc.soundexchange.com/#/search?searchType=name&amp;query="&amp;ENCODEURL(A48&amp;" "&amp;B48),"🔍 Name Search")</f>
        <v/>
      </c>
      <c r="G48" s="2">
        <f>HYPERLINK("https://musicbrainz.org/isrc/USZEG1501232","🎵 MusicBrainz")</f>
        <v/>
      </c>
      <c r="H48" s="2">
        <f>HYPERLINK("https://repertoire.bmi.com/search?title="&amp;ENCODEURL(B48)&amp;"&amp;searchIn=songview","📋 Songview")</f>
        <v/>
      </c>
      <c r="I48" s="2">
        <f>HYPERLINK("https://www.youtube.com/results?search_query="&amp;ENCODEURL(A48&amp;" "&amp;B48),"▶ YouTube")</f>
        <v/>
      </c>
      <c r="J48" s="2" t="inlineStr">
        <is>
          <t>2015-12-11</t>
        </is>
      </c>
      <c r="K48" s="8" t="inlineStr">
        <is>
          <t>CHECK — streaming? (2015)</t>
        </is>
      </c>
      <c r="L48" t="inlineStr"/>
      <c r="M48" t="inlineStr"/>
    </row>
    <row r="49" ht="20" customHeight="1">
      <c r="A49" s="4" t="inlineStr">
        <is>
          <t>Meek Mill</t>
        </is>
      </c>
      <c r="B49" s="4" t="inlineStr">
        <is>
          <t>Level Up One Time Remix ft. Young Thug</t>
        </is>
      </c>
      <c r="C49" s="4" t="inlineStr"/>
      <c r="D49" s="4" t="n">
        <v>0</v>
      </c>
      <c r="E49" s="4" t="inlineStr">
        <is>
          <t>—</t>
        </is>
      </c>
      <c r="F49" s="4">
        <f>HYPERLINK("https://isrc.soundexchange.com/#/search?searchType=name&amp;query="&amp;ENCODEURL(A49&amp;" "&amp;B49),"🔍 Name Search")</f>
        <v/>
      </c>
      <c r="G49" s="4">
        <f>HYPERLINK("https://musicbrainz.org/search?query="&amp;ENCODEURL(A49&amp;" "&amp;B49)&amp;"&amp;type=recording","🎵 MusicBrainz")</f>
        <v/>
      </c>
      <c r="H49" s="4">
        <f>HYPERLINK("https://repertoire.bmi.com/search?title="&amp;ENCODEURL(B49)&amp;"&amp;searchIn=songview","📋 Songview")</f>
        <v/>
      </c>
      <c r="I49" s="4">
        <f>HYPERLINK("https://www.youtube.com/results?search_query="&amp;ENCODEURL(A49&amp;" "&amp;B49),"▶ YouTube")</f>
        <v/>
      </c>
      <c r="J49" s="4" t="inlineStr"/>
      <c r="K49" s="4" t="inlineStr">
        <is>
          <t>UNKNOWN</t>
        </is>
      </c>
      <c r="L49" t="inlineStr"/>
      <c r="M49" t="inlineStr"/>
    </row>
    <row r="50" ht="20" customHeight="1">
      <c r="A50" s="2" t="inlineStr">
        <is>
          <t>Nemzzz</t>
        </is>
      </c>
      <c r="B50" s="2" t="inlineStr">
        <is>
          <t>ART (feat. Latto)</t>
        </is>
      </c>
      <c r="C50" s="2" t="inlineStr">
        <is>
          <t>GBAHS2500431</t>
        </is>
      </c>
      <c r="D50" s="2" t="n">
        <v>0</v>
      </c>
      <c r="E50" s="2">
        <f>HYPERLINK("https://isrc.soundexchange.com/#/search?searchType=code&amp;query=GBAHS2500431","🔍 ISRC Search")</f>
        <v/>
      </c>
      <c r="F50" s="2">
        <f>HYPERLINK("https://isrc.soundexchange.com/#/search?searchType=name&amp;query="&amp;ENCODEURL(A50&amp;" "&amp;B50),"🔍 Name Search")</f>
        <v/>
      </c>
      <c r="G50" s="2">
        <f>HYPERLINK("https://musicbrainz.org/isrc/GBAHS2500431","🎵 MusicBrainz")</f>
        <v/>
      </c>
      <c r="H50" s="2">
        <f>HYPERLINK("https://repertoire.bmi.com/search?title="&amp;ENCODEURL(B50)&amp;"&amp;searchIn=songview","📋 Songview")</f>
        <v/>
      </c>
      <c r="I50" s="2">
        <f>HYPERLINK("https://www.youtube.com/results?search_query="&amp;ENCODEURL(A50&amp;" "&amp;B50),"▶ YouTube")</f>
        <v/>
      </c>
      <c r="J50" s="2" t="inlineStr">
        <is>
          <t>2025-06-12</t>
        </is>
      </c>
      <c r="K50" s="3" t="inlineStr">
        <is>
          <t>FULL (0.8yr old)</t>
        </is>
      </c>
      <c r="L50" t="inlineStr"/>
      <c r="M50" t="inlineStr"/>
    </row>
    <row r="51" ht="20" customHeight="1">
      <c r="A51" s="4" t="inlineStr">
        <is>
          <t>USHER</t>
        </is>
      </c>
      <c r="B51" s="4" t="inlineStr">
        <is>
          <t>A-Town Girl (feat. Latto)</t>
        </is>
      </c>
      <c r="C51" s="4" t="inlineStr"/>
      <c r="D51" s="4" t="n">
        <v>0</v>
      </c>
      <c r="E51" s="4" t="inlineStr">
        <is>
          <t>—</t>
        </is>
      </c>
      <c r="F51" s="4">
        <f>HYPERLINK("https://isrc.soundexchange.com/#/search?searchType=name&amp;query="&amp;ENCODEURL(A51&amp;" "&amp;B51),"🔍 Name Search")</f>
        <v/>
      </c>
      <c r="G51" s="4">
        <f>HYPERLINK("https://musicbrainz.org/search?query="&amp;ENCODEURL(A51&amp;" "&amp;B51)&amp;"&amp;type=recording","🎵 MusicBrainz")</f>
        <v/>
      </c>
      <c r="H51" s="4">
        <f>HYPERLINK("https://repertoire.bmi.com/search?title="&amp;ENCODEURL(B51)&amp;"&amp;searchIn=songview","📋 Songview")</f>
        <v/>
      </c>
      <c r="I51" s="4">
        <f>HYPERLINK("https://www.youtube.com/results?search_query="&amp;ENCODEURL(A51&amp;" "&amp;B51),"▶ YouTube")</f>
        <v/>
      </c>
      <c r="J51" s="4" t="inlineStr"/>
      <c r="K51" s="4" t="inlineStr">
        <is>
          <t>UNKNOWN</t>
        </is>
      </c>
      <c r="L51" t="inlineStr"/>
      <c r="M51" t="inlineStr"/>
    </row>
    <row r="52" ht="20" customHeight="1">
      <c r="A52" s="2" t="inlineStr">
        <is>
          <t>Doja Cat</t>
        </is>
      </c>
      <c r="B52" s="2" t="inlineStr">
        <is>
          <t>Agora Hills (Remix) ft. Nicki Minaj</t>
        </is>
      </c>
      <c r="C52" s="2" t="inlineStr"/>
      <c r="D52" s="2" t="n">
        <v>0</v>
      </c>
      <c r="E52" s="2" t="inlineStr">
        <is>
          <t>—</t>
        </is>
      </c>
      <c r="F52" s="2">
        <f>HYPERLINK("https://isrc.soundexchange.com/#/search?searchType=name&amp;query="&amp;ENCODEURL(A52&amp;" "&amp;B52),"🔍 Name Search")</f>
        <v/>
      </c>
      <c r="G52" s="2">
        <f>HYPERLINK("https://musicbrainz.org/search?query="&amp;ENCODEURL(A52&amp;" "&amp;B52)&amp;"&amp;type=recording","🎵 MusicBrainz")</f>
        <v/>
      </c>
      <c r="H52" s="2">
        <f>HYPERLINK("https://repertoire.bmi.com/search?title="&amp;ENCODEURL(B52)&amp;"&amp;searchIn=songview","📋 Songview")</f>
        <v/>
      </c>
      <c r="I52" s="2">
        <f>HYPERLINK("https://www.youtube.com/results?search_query="&amp;ENCODEURL(A52&amp;" "&amp;B52),"▶ YouTube")</f>
        <v/>
      </c>
      <c r="J52" s="2" t="inlineStr"/>
      <c r="K52" s="2" t="inlineStr">
        <is>
          <t>UNKNOWN</t>
        </is>
      </c>
      <c r="L52" t="inlineStr"/>
      <c r="M52" t="inlineStr"/>
    </row>
  </sheetData>
  <conditionalFormatting sqref="L2:L52">
    <cfRule type="expression" priority="1" dxfId="0">
      <formula>NOT(ISERROR(SEARCH("JACKPOT",J2)))</formula>
    </cfRule>
    <cfRule type="expression" priority="2" dxfId="1">
      <formula>NOT(ISERROR(SEARCH("GUEST_UNCLAIMED",J2)))</formula>
    </cfRule>
    <cfRule type="expression" priority="3" dxfId="2">
      <formula>NOT(ISERROR(SEARCH("False Positive",J2)))</formula>
    </cfRule>
    <cfRule type="expression" priority="4" dxfId="3">
      <formula>NOT(ISERROR(SEARCH("Needs Check",J2)))</formula>
    </cfRule>
  </conditionalFormatting>
  <conditionalFormatting sqref="D2:D52">
    <cfRule type="cellIs" priority="5" operator="greaterThan" dxfId="4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2026-03-24T15:28:43Z</dcterms:created>
  <dcterms:modified xsi:type="dcterms:W3CDTF">2026-03-24T15:28:43Z</dcterms:modified>
</cp:coreProperties>
</file>