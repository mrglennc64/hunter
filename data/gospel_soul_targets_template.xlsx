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b val="1"/>
      <color rgb="00854D0E"/>
    </font>
    <font>
      <color rgb="00991B1B"/>
    </font>
    <font>
      <b val="1"/>
      <color rgb="00166534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00C851"/>
        </patternFill>
      </fill>
    </dxf>
    <dxf>
      <font>
        <b val="1"/>
      </font>
      <fill>
        <patternFill patternType="solid">
          <fgColor rgb="00CCFFDD"/>
        </patternFill>
      </fill>
    </dxf>
    <dxf>
      <font>
        <color rgb="00FFFFFF"/>
      </font>
      <fill>
        <patternFill patternType="solid">
          <fgColor rgb="00EF4444"/>
        </patternFill>
      </fill>
    </dxf>
    <dxf>
      <fill>
        <patternFill patternType="solid">
          <fgColor rgb="00FEF08A"/>
        </patternFill>
      </fill>
    </dxf>
    <dxf>
      <font>
        <b val="1"/>
      </font>
      <fill>
        <patternFill patternType="solid">
          <fgColor rgb="00FB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3" customWidth="1" min="4" max="4"/>
    <col width="14" customWidth="1" min="5" max="5"/>
    <col width="15" customWidth="1" min="6" max="6"/>
    <col width="14" customWidth="1" min="7" max="7"/>
    <col width="20" customWidth="1" min="8" max="8"/>
    <col width="12" customWidth="1" min="9" max="9"/>
    <col width="13" customWidth="1" min="10" max="10"/>
    <col width="22" customWidth="1" min="11" max="11"/>
    <col width="22" customWidth="1" min="12" max="12"/>
    <col width="18" customWidth="1" min="13" max="13"/>
  </cols>
  <sheetData>
    <row r="1" ht="32" customHeight="1">
      <c r="A1" s="1" t="inlineStr">
        <is>
          <t>Artist</t>
        </is>
      </c>
      <c r="B1" s="1" t="inlineStr">
        <is>
          <t>Track</t>
        </is>
      </c>
      <c r="C1" s="1" t="inlineStr">
        <is>
          <t>ISRC</t>
        </is>
      </c>
      <c r="D1" s="1" t="inlineStr">
        <is>
          <t>Sniper Score</t>
        </is>
      </c>
      <c r="E1" s="1" t="inlineStr">
        <is>
          <t>SX ISRC Link</t>
        </is>
      </c>
      <c r="F1" s="1" t="inlineStr">
        <is>
          <t>SX Name Search</t>
        </is>
      </c>
      <c r="G1" s="1" t="inlineStr">
        <is>
          <t>MusicBrainz</t>
        </is>
      </c>
      <c r="H1" s="1" t="inlineStr">
        <is>
          <t>Songview (ASCAP+BMI)</t>
        </is>
      </c>
      <c r="I1" s="1" t="inlineStr">
        <is>
          <t>YouTube</t>
        </is>
      </c>
      <c r="J1" s="1" t="inlineStr">
        <is>
          <t>Release Date</t>
        </is>
      </c>
      <c r="K1" s="1" t="inlineStr">
        <is>
          <t>BB Eligibility</t>
        </is>
      </c>
      <c r="L1" s="1" t="inlineStr">
        <is>
          <t>Manual Check Notes</t>
        </is>
      </c>
      <c r="M1" s="1" t="inlineStr">
        <is>
          <t>Estimated Recovery</t>
        </is>
      </c>
    </row>
    <row r="2" ht="20" customHeight="1">
      <c r="A2" s="2" t="inlineStr">
        <is>
          <t>Kirk Franklin</t>
        </is>
      </c>
      <c r="B2" s="2" t="inlineStr">
        <is>
          <t>Love Theory</t>
        </is>
      </c>
      <c r="C2" s="2" t="inlineStr">
        <is>
          <t>USA5W1800322</t>
        </is>
      </c>
      <c r="D2" s="2" t="n">
        <v>0</v>
      </c>
      <c r="E2" s="2">
        <f>HYPERLINK("https://isrc.soundexchange.com/#/search?searchType=code&amp;query=USA5W1800322","🔍 ISRC Search")</f>
        <v/>
      </c>
      <c r="F2" s="2">
        <f>HYPERLINK("https://isrc.soundexchange.com/#/search?searchType=name&amp;query="&amp;ENCODEURL(A2&amp;" "&amp;B2),"🔍 Name Search")</f>
        <v/>
      </c>
      <c r="G2" s="2">
        <f>HYPERLINK("https://musicbrainz.org/isrc/USA5W1800322","🎵 MusicBrainz")</f>
        <v/>
      </c>
      <c r="H2" s="2">
        <f>HYPERLINK("https://repertoire.bmi.com/search?title="&amp;ENCODEURL(B2)&amp;"&amp;searchIn=songview","📋 Songview")</f>
        <v/>
      </c>
      <c r="I2" s="2">
        <f>HYPERLINK("https://www.youtube.com/results?search_query="&amp;ENCODEURL(A2&amp;" "&amp;B2),"▶ YouTube")</f>
        <v/>
      </c>
      <c r="J2" s="2" t="inlineStr">
        <is>
          <t>2019-05-31</t>
        </is>
      </c>
      <c r="K2" s="3" t="inlineStr">
        <is>
          <t>PARTIAL (2019)</t>
        </is>
      </c>
      <c r="L2" t="inlineStr"/>
      <c r="M2" t="inlineStr"/>
    </row>
    <row r="3" ht="20" customHeight="1">
      <c r="A3" s="4" t="inlineStr">
        <is>
          <t>Kirk Franklin</t>
        </is>
      </c>
      <c r="B3" s="4" t="inlineStr">
        <is>
          <t>Just for Me (Remix) ft. Lil Baby</t>
        </is>
      </c>
      <c r="C3" s="4" t="inlineStr"/>
      <c r="D3" s="4" t="n">
        <v>0</v>
      </c>
      <c r="E3" s="4" t="inlineStr">
        <is>
          <t>—</t>
        </is>
      </c>
      <c r="F3" s="4">
        <f>HYPERLINK("https://isrc.soundexchange.com/#/search?searchType=name&amp;query="&amp;ENCODEURL(A3&amp;" "&amp;B3),"🔍 Name Search")</f>
        <v/>
      </c>
      <c r="G3" s="4">
        <f>HYPERLINK("https://musicbrainz.org/search?query="&amp;ENCODEURL(A3&amp;" "&amp;B3)&amp;"&amp;type=recording","🎵 MusicBrainz")</f>
        <v/>
      </c>
      <c r="H3" s="4">
        <f>HYPERLINK("https://repertoire.bmi.com/search?title="&amp;ENCODEURL(B3)&amp;"&amp;searchIn=songview","📋 Songview")</f>
        <v/>
      </c>
      <c r="I3" s="4">
        <f>HYPERLINK("https://www.youtube.com/results?search_query="&amp;ENCODEURL(A3&amp;" "&amp;B3),"▶ YouTube")</f>
        <v/>
      </c>
      <c r="J3" s="4" t="inlineStr"/>
      <c r="K3" s="4" t="inlineStr">
        <is>
          <t>UNKNOWN</t>
        </is>
      </c>
      <c r="L3" t="inlineStr"/>
      <c r="M3" t="inlineStr"/>
    </row>
    <row r="4" ht="20" customHeight="1">
      <c r="A4" s="2" t="inlineStr">
        <is>
          <t>Kirk Franklin</t>
        </is>
      </c>
      <c r="B4" s="2" t="inlineStr">
        <is>
          <t>My Life Is in Your Hands (Remix)</t>
        </is>
      </c>
      <c r="C4" s="2" t="inlineStr"/>
      <c r="D4" s="2" t="n">
        <v>0</v>
      </c>
      <c r="E4" s="2" t="inlineStr">
        <is>
          <t>—</t>
        </is>
      </c>
      <c r="F4" s="2">
        <f>HYPERLINK("https://isrc.soundexchange.com/#/search?searchType=name&amp;query="&amp;ENCODEURL(A4&amp;" "&amp;B4),"🔍 Name Search")</f>
        <v/>
      </c>
      <c r="G4" s="2">
        <f>HYPERLINK("https://musicbrainz.org/search?query="&amp;ENCODEURL(A4&amp;" "&amp;B4)&amp;"&amp;type=recording","🎵 MusicBrainz")</f>
        <v/>
      </c>
      <c r="H4" s="2">
        <f>HYPERLINK("https://repertoire.bmi.com/search?title="&amp;ENCODEURL(B4)&amp;"&amp;searchIn=songview","📋 Songview")</f>
        <v/>
      </c>
      <c r="I4" s="2">
        <f>HYPERLINK("https://www.youtube.com/results?search_query="&amp;ENCODEURL(A4&amp;" "&amp;B4),"▶ YouTube")</f>
        <v/>
      </c>
      <c r="J4" s="2" t="inlineStr"/>
      <c r="K4" s="2" t="inlineStr">
        <is>
          <t>UNKNOWN</t>
        </is>
      </c>
      <c r="L4" t="inlineStr"/>
      <c r="M4" t="inlineStr"/>
    </row>
    <row r="5" ht="20" customHeight="1">
      <c r="A5" s="4" t="inlineStr">
        <is>
          <t>Kirk Franklin</t>
        </is>
      </c>
      <c r="B5" s="4" t="inlineStr">
        <is>
          <t>Melodies From Heaven (Remix)</t>
        </is>
      </c>
      <c r="C5" s="4" t="inlineStr">
        <is>
          <t>USGCR0600237</t>
        </is>
      </c>
      <c r="D5" s="4" t="n">
        <v>0</v>
      </c>
      <c r="E5" s="4">
        <f>HYPERLINK("https://isrc.soundexchange.com/#/search?searchType=code&amp;query=USGCR0600237","🔍 ISRC Search")</f>
        <v/>
      </c>
      <c r="F5" s="4">
        <f>HYPERLINK("https://isrc.soundexchange.com/#/search?searchType=name&amp;query="&amp;ENCODEURL(A5&amp;" "&amp;B5),"🔍 Name Search")</f>
        <v/>
      </c>
      <c r="G5" s="4">
        <f>HYPERLINK("https://musicbrainz.org/isrc/USGCR0600237","🎵 MusicBrainz")</f>
        <v/>
      </c>
      <c r="H5" s="4">
        <f>HYPERLINK("https://repertoire.bmi.com/search?title="&amp;ENCODEURL(B5)&amp;"&amp;searchIn=songview","📋 Songview")</f>
        <v/>
      </c>
      <c r="I5" s="4">
        <f>HYPERLINK("https://www.youtube.com/results?search_query="&amp;ENCODEURL(A5&amp;" "&amp;B5),"▶ YouTube")</f>
        <v/>
      </c>
      <c r="J5" s="4" t="inlineStr">
        <is>
          <t>2001-11-01</t>
        </is>
      </c>
      <c r="K5" s="5" t="inlineStr">
        <is>
          <t>CHECK — streaming? (2001)</t>
        </is>
      </c>
      <c r="L5" t="inlineStr"/>
      <c r="M5" t="inlineStr"/>
    </row>
    <row r="6" ht="20" customHeight="1">
      <c r="A6" s="2" t="inlineStr">
        <is>
          <t>Kirk Franklin</t>
        </is>
      </c>
      <c r="B6" s="2" t="inlineStr">
        <is>
          <t>Revolution (Remix) ft. Ledisi</t>
        </is>
      </c>
      <c r="C6" s="2" t="inlineStr"/>
      <c r="D6" s="2" t="n">
        <v>0</v>
      </c>
      <c r="E6" s="2" t="inlineStr">
        <is>
          <t>—</t>
        </is>
      </c>
      <c r="F6" s="2">
        <f>HYPERLINK("https://isrc.soundexchange.com/#/search?searchType=name&amp;query="&amp;ENCODEURL(A6&amp;" "&amp;B6),"🔍 Name Search")</f>
        <v/>
      </c>
      <c r="G6" s="2">
        <f>HYPERLINK("https://musicbrainz.org/search?query="&amp;ENCODEURL(A6&amp;" "&amp;B6)&amp;"&amp;type=recording","🎵 MusicBrainz")</f>
        <v/>
      </c>
      <c r="H6" s="2">
        <f>HYPERLINK("https://repertoire.bmi.com/search?title="&amp;ENCODEURL(B6)&amp;"&amp;searchIn=songview","📋 Songview")</f>
        <v/>
      </c>
      <c r="I6" s="2">
        <f>HYPERLINK("https://www.youtube.com/results?search_query="&amp;ENCODEURL(A6&amp;" "&amp;B6),"▶ YouTube")</f>
        <v/>
      </c>
      <c r="J6" s="2" t="inlineStr"/>
      <c r="K6" s="2" t="inlineStr">
        <is>
          <t>UNKNOWN</t>
        </is>
      </c>
      <c r="L6" t="inlineStr"/>
      <c r="M6" t="inlineStr"/>
    </row>
    <row r="7" ht="20" customHeight="1">
      <c r="A7" s="4" t="inlineStr">
        <is>
          <t>Kirk Franklin</t>
        </is>
      </c>
      <c r="B7" s="4" t="inlineStr">
        <is>
          <t>Wanna Be Happy (Remix)</t>
        </is>
      </c>
      <c r="C7" s="4" t="inlineStr"/>
      <c r="D7" s="4" t="n">
        <v>0</v>
      </c>
      <c r="E7" s="4" t="inlineStr">
        <is>
          <t>—</t>
        </is>
      </c>
      <c r="F7" s="4">
        <f>HYPERLINK("https://isrc.soundexchange.com/#/search?searchType=name&amp;query="&amp;ENCODEURL(A7&amp;" "&amp;B7),"🔍 Name Search")</f>
        <v/>
      </c>
      <c r="G7" s="4">
        <f>HYPERLINK("https://musicbrainz.org/search?query="&amp;ENCODEURL(A7&amp;" "&amp;B7)&amp;"&amp;type=recording","🎵 MusicBrainz")</f>
        <v/>
      </c>
      <c r="H7" s="4">
        <f>HYPERLINK("https://repertoire.bmi.com/search?title="&amp;ENCODEURL(B7)&amp;"&amp;searchIn=songview","📋 Songview")</f>
        <v/>
      </c>
      <c r="I7" s="4">
        <f>HYPERLINK("https://www.youtube.com/results?search_query="&amp;ENCODEURL(A7&amp;" "&amp;B7),"▶ YouTube")</f>
        <v/>
      </c>
      <c r="J7" s="4" t="inlineStr"/>
      <c r="K7" s="4" t="inlineStr">
        <is>
          <t>UNKNOWN</t>
        </is>
      </c>
      <c r="L7" t="inlineStr"/>
      <c r="M7" t="inlineStr"/>
    </row>
    <row r="8" ht="20" customHeight="1">
      <c r="A8" s="2" t="inlineStr">
        <is>
          <t>Kirk Franklin</t>
        </is>
      </c>
      <c r="B8" s="2" t="inlineStr">
        <is>
          <t>123 Victory (Remix)</t>
        </is>
      </c>
      <c r="C8" s="2" t="inlineStr">
        <is>
          <t>USRC11601309</t>
        </is>
      </c>
      <c r="D8" s="2" t="n">
        <v>0</v>
      </c>
      <c r="E8" s="2">
        <f>HYPERLINK("https://isrc.soundexchange.com/#/search?searchType=code&amp;query=USRC11601309","🔍 ISRC Search")</f>
        <v/>
      </c>
      <c r="F8" s="2">
        <f>HYPERLINK("https://isrc.soundexchange.com/#/search?searchType=name&amp;query="&amp;ENCODEURL(A8&amp;" "&amp;B8),"🔍 Name Search")</f>
        <v/>
      </c>
      <c r="G8" s="2">
        <f>HYPERLINK("https://musicbrainz.org/isrc/USRC11601309","🎵 MusicBrainz")</f>
        <v/>
      </c>
      <c r="H8" s="2">
        <f>HYPERLINK("https://repertoire.bmi.com/search?title="&amp;ENCODEURL(B8)&amp;"&amp;searchIn=songview","📋 Songview")</f>
        <v/>
      </c>
      <c r="I8" s="2">
        <f>HYPERLINK("https://www.youtube.com/results?search_query="&amp;ENCODEURL(A8&amp;" "&amp;B8),"▶ YouTube")</f>
        <v/>
      </c>
      <c r="J8" s="2" t="inlineStr">
        <is>
          <t>2016-09-02</t>
        </is>
      </c>
      <c r="K8" s="6" t="inlineStr">
        <is>
          <t>CHECK — streaming? (2016)</t>
        </is>
      </c>
      <c r="L8" t="inlineStr"/>
      <c r="M8" t="inlineStr"/>
    </row>
    <row r="9" ht="20" customHeight="1">
      <c r="A9" s="4" t="inlineStr">
        <is>
          <t>Tasha Cobbs Leonard</t>
        </is>
      </c>
      <c r="B9" s="4" t="inlineStr">
        <is>
          <t>You Know My Name ft. Jimi Cravity</t>
        </is>
      </c>
      <c r="C9" s="4" t="inlineStr"/>
      <c r="D9" s="4" t="n">
        <v>0</v>
      </c>
      <c r="E9" s="4" t="inlineStr">
        <is>
          <t>—</t>
        </is>
      </c>
      <c r="F9" s="4">
        <f>HYPERLINK("https://isrc.soundexchange.com/#/search?searchType=name&amp;query="&amp;ENCODEURL(A9&amp;" "&amp;B9),"🔍 Name Search")</f>
        <v/>
      </c>
      <c r="G9" s="4">
        <f>HYPERLINK("https://musicbrainz.org/search?query="&amp;ENCODEURL(A9&amp;" "&amp;B9)&amp;"&amp;type=recording","🎵 MusicBrainz")</f>
        <v/>
      </c>
      <c r="H9" s="4">
        <f>HYPERLINK("https://repertoire.bmi.com/search?title="&amp;ENCODEURL(B9)&amp;"&amp;searchIn=songview","📋 Songview")</f>
        <v/>
      </c>
      <c r="I9" s="4">
        <f>HYPERLINK("https://www.youtube.com/results?search_query="&amp;ENCODEURL(A9&amp;" "&amp;B9),"▶ YouTube")</f>
        <v/>
      </c>
      <c r="J9" s="4" t="inlineStr"/>
      <c r="K9" s="4" t="inlineStr">
        <is>
          <t>UNKNOWN</t>
        </is>
      </c>
      <c r="L9" t="inlineStr"/>
      <c r="M9" t="inlineStr"/>
    </row>
    <row r="10" ht="20" customHeight="1">
      <c r="A10" s="2" t="inlineStr">
        <is>
          <t>Tasha Cobbs Leonard</t>
        </is>
      </c>
      <c r="B10" s="2" t="inlineStr">
        <is>
          <t>This Is a Move ft. Bethel Music</t>
        </is>
      </c>
      <c r="C10" s="2" t="inlineStr"/>
      <c r="D10" s="2" t="n">
        <v>0</v>
      </c>
      <c r="E10" s="2" t="inlineStr">
        <is>
          <t>—</t>
        </is>
      </c>
      <c r="F10" s="2">
        <f>HYPERLINK("https://isrc.soundexchange.com/#/search?searchType=name&amp;query="&amp;ENCODEURL(A10&amp;" "&amp;B10),"🔍 Name Search")</f>
        <v/>
      </c>
      <c r="G10" s="2">
        <f>HYPERLINK("https://musicbrainz.org/search?query="&amp;ENCODEURL(A10&amp;" "&amp;B10)&amp;"&amp;type=recording","🎵 MusicBrainz")</f>
        <v/>
      </c>
      <c r="H10" s="2">
        <f>HYPERLINK("https://repertoire.bmi.com/search?title="&amp;ENCODEURL(B10)&amp;"&amp;searchIn=songview","📋 Songview")</f>
        <v/>
      </c>
      <c r="I10" s="2">
        <f>HYPERLINK("https://www.youtube.com/results?search_query="&amp;ENCODEURL(A10&amp;" "&amp;B10),"▶ YouTube")</f>
        <v/>
      </c>
      <c r="J10" s="2" t="inlineStr"/>
      <c r="K10" s="2" t="inlineStr">
        <is>
          <t>UNKNOWN</t>
        </is>
      </c>
      <c r="L10" t="inlineStr"/>
      <c r="M10" t="inlineStr"/>
    </row>
    <row r="11" ht="20" customHeight="1">
      <c r="A11" s="4" t="inlineStr">
        <is>
          <t>Tasha Cobbs Leonard</t>
        </is>
      </c>
      <c r="B11" s="4" t="inlineStr">
        <is>
          <t>Break Every Chain (Remix)</t>
        </is>
      </c>
      <c r="C11" s="4" t="inlineStr">
        <is>
          <t>QZTAX2359371</t>
        </is>
      </c>
      <c r="D11" s="4" t="n">
        <v>0</v>
      </c>
      <c r="E11" s="4">
        <f>HYPERLINK("https://isrc.soundexchange.com/#/search?searchType=code&amp;query=QZTAX2359371","🔍 ISRC Search")</f>
        <v/>
      </c>
      <c r="F11" s="4">
        <f>HYPERLINK("https://isrc.soundexchange.com/#/search?searchType=name&amp;query="&amp;ENCODEURL(A11&amp;" "&amp;B11),"🔍 Name Search")</f>
        <v/>
      </c>
      <c r="G11" s="4">
        <f>HYPERLINK("https://musicbrainz.org/isrc/QZTAX2359371","🎵 MusicBrainz")</f>
        <v/>
      </c>
      <c r="H11" s="4">
        <f>HYPERLINK("https://repertoire.bmi.com/search?title="&amp;ENCODEURL(B11)&amp;"&amp;searchIn=songview","📋 Songview")</f>
        <v/>
      </c>
      <c r="I11" s="4">
        <f>HYPERLINK("https://www.youtube.com/results?search_query="&amp;ENCODEURL(A11&amp;" "&amp;B11),"▶ YouTube")</f>
        <v/>
      </c>
      <c r="J11" s="4" t="inlineStr">
        <is>
          <t>2023-10-13</t>
        </is>
      </c>
      <c r="K11" s="7" t="inlineStr">
        <is>
          <t>FULL (2.4yr old)</t>
        </is>
      </c>
      <c r="L11" t="inlineStr"/>
      <c r="M11" t="inlineStr"/>
    </row>
    <row r="12" ht="20" customHeight="1">
      <c r="A12" s="2" t="inlineStr">
        <is>
          <t>Tasha Cobbs Leonard</t>
        </is>
      </c>
      <c r="B12" s="2" t="inlineStr">
        <is>
          <t>Fill Me Up / Overflow (Live) (Remix)</t>
        </is>
      </c>
      <c r="C12" s="2" t="inlineStr"/>
      <c r="D12" s="2" t="n">
        <v>0</v>
      </c>
      <c r="E12" s="2" t="inlineStr">
        <is>
          <t>—</t>
        </is>
      </c>
      <c r="F12" s="2">
        <f>HYPERLINK("https://isrc.soundexchange.com/#/search?searchType=name&amp;query="&amp;ENCODEURL(A12&amp;" "&amp;B12),"🔍 Name Search")</f>
        <v/>
      </c>
      <c r="G12" s="2">
        <f>HYPERLINK("https://musicbrainz.org/search?query="&amp;ENCODEURL(A12&amp;" "&amp;B12)&amp;"&amp;type=recording","🎵 MusicBrainz")</f>
        <v/>
      </c>
      <c r="H12" s="2">
        <f>HYPERLINK("https://repertoire.bmi.com/search?title="&amp;ENCODEURL(B12)&amp;"&amp;searchIn=songview","📋 Songview")</f>
        <v/>
      </c>
      <c r="I12" s="2">
        <f>HYPERLINK("https://www.youtube.com/results?search_query="&amp;ENCODEURL(A12&amp;" "&amp;B12),"▶ YouTube")</f>
        <v/>
      </c>
      <c r="J12" s="2" t="inlineStr"/>
      <c r="K12" s="2" t="inlineStr">
        <is>
          <t>UNKNOWN</t>
        </is>
      </c>
      <c r="L12" t="inlineStr"/>
      <c r="M12" t="inlineStr"/>
    </row>
    <row r="13" ht="20" customHeight="1">
      <c r="A13" s="4" t="inlineStr">
        <is>
          <t>Tasha Cobbs Leonard</t>
        </is>
      </c>
      <c r="B13" s="4" t="inlineStr">
        <is>
          <t>Goodness of God ft. Jenn Johnson</t>
        </is>
      </c>
      <c r="C13" s="4" t="inlineStr"/>
      <c r="D13" s="4" t="n">
        <v>0</v>
      </c>
      <c r="E13" s="4" t="inlineStr">
        <is>
          <t>—</t>
        </is>
      </c>
      <c r="F13" s="4">
        <f>HYPERLINK("https://isrc.soundexchange.com/#/search?searchType=name&amp;query="&amp;ENCODEURL(A13&amp;" "&amp;B13),"🔍 Name Search")</f>
        <v/>
      </c>
      <c r="G13" s="4">
        <f>HYPERLINK("https://musicbrainz.org/search?query="&amp;ENCODEURL(A13&amp;" "&amp;B13)&amp;"&amp;type=recording","🎵 MusicBrainz")</f>
        <v/>
      </c>
      <c r="H13" s="4">
        <f>HYPERLINK("https://repertoire.bmi.com/search?title="&amp;ENCODEURL(B13)&amp;"&amp;searchIn=songview","📋 Songview")</f>
        <v/>
      </c>
      <c r="I13" s="4">
        <f>HYPERLINK("https://www.youtube.com/results?search_query="&amp;ENCODEURL(A13&amp;" "&amp;B13),"▶ YouTube")</f>
        <v/>
      </c>
      <c r="J13" s="4" t="inlineStr"/>
      <c r="K13" s="4" t="inlineStr">
        <is>
          <t>UNKNOWN</t>
        </is>
      </c>
      <c r="L13" t="inlineStr"/>
      <c r="M13" t="inlineStr"/>
    </row>
    <row r="14" ht="20" customHeight="1">
      <c r="A14" s="2" t="inlineStr">
        <is>
          <t>Tasha Cobbs Leonard</t>
        </is>
      </c>
      <c r="B14" s="2" t="inlineStr">
        <is>
          <t>Put a Praise on It ft. Kierra Sheard</t>
        </is>
      </c>
      <c r="C14" s="2" t="inlineStr"/>
      <c r="D14" s="2" t="n">
        <v>0</v>
      </c>
      <c r="E14" s="2" t="inlineStr">
        <is>
          <t>—</t>
        </is>
      </c>
      <c r="F14" s="2">
        <f>HYPERLINK("https://isrc.soundexchange.com/#/search?searchType=name&amp;query="&amp;ENCODEURL(A14&amp;" "&amp;B14),"🔍 Name Search")</f>
        <v/>
      </c>
      <c r="G14" s="2">
        <f>HYPERLINK("https://musicbrainz.org/search?query="&amp;ENCODEURL(A14&amp;" "&amp;B14)&amp;"&amp;type=recording","🎵 MusicBrainz")</f>
        <v/>
      </c>
      <c r="H14" s="2">
        <f>HYPERLINK("https://repertoire.bmi.com/search?title="&amp;ENCODEURL(B14)&amp;"&amp;searchIn=songview","📋 Songview")</f>
        <v/>
      </c>
      <c r="I14" s="2">
        <f>HYPERLINK("https://www.youtube.com/results?search_query="&amp;ENCODEURL(A14&amp;" "&amp;B14),"▶ YouTube")</f>
        <v/>
      </c>
      <c r="J14" s="2" t="inlineStr"/>
      <c r="K14" s="2" t="inlineStr">
        <is>
          <t>UNKNOWN</t>
        </is>
      </c>
      <c r="L14" t="inlineStr"/>
      <c r="M14" t="inlineStr"/>
    </row>
    <row r="15" ht="20" customHeight="1">
      <c r="A15" s="4" t="inlineStr">
        <is>
          <t>Maverick City Music</t>
        </is>
      </c>
      <c r="B15" s="4" t="inlineStr">
        <is>
          <t>Promises ft. Joe L Barnes &amp; Naomi Raine</t>
        </is>
      </c>
      <c r="C15" s="4" t="inlineStr"/>
      <c r="D15" s="4" t="n">
        <v>0</v>
      </c>
      <c r="E15" s="4" t="inlineStr">
        <is>
          <t>—</t>
        </is>
      </c>
      <c r="F15" s="4">
        <f>HYPERLINK("https://isrc.soundexchange.com/#/search?searchType=name&amp;query="&amp;ENCODEURL(A15&amp;" "&amp;B15),"🔍 Name Search")</f>
        <v/>
      </c>
      <c r="G15" s="4">
        <f>HYPERLINK("https://musicbrainz.org/search?query="&amp;ENCODEURL(A15&amp;" "&amp;B15)&amp;"&amp;type=recording","🎵 MusicBrainz")</f>
        <v/>
      </c>
      <c r="H15" s="4">
        <f>HYPERLINK("https://repertoire.bmi.com/search?title="&amp;ENCODEURL(B15)&amp;"&amp;searchIn=songview","📋 Songview")</f>
        <v/>
      </c>
      <c r="I15" s="4">
        <f>HYPERLINK("https://www.youtube.com/results?search_query="&amp;ENCODEURL(A15&amp;" "&amp;B15),"▶ YouTube")</f>
        <v/>
      </c>
      <c r="J15" s="4" t="inlineStr">
        <is>
          <t>2019-12-10</t>
        </is>
      </c>
      <c r="K15" s="8" t="inlineStr">
        <is>
          <t>PARTIAL (2019)</t>
        </is>
      </c>
      <c r="L15" t="inlineStr"/>
      <c r="M15" t="inlineStr"/>
    </row>
    <row r="16" ht="20" customHeight="1">
      <c r="A16" s="2" t="inlineStr">
        <is>
          <t>Maverick City Music</t>
        </is>
      </c>
      <c r="B16" s="2" t="inlineStr">
        <is>
          <t>Jireh ft. Elevation Worship</t>
        </is>
      </c>
      <c r="C16" s="2" t="inlineStr"/>
      <c r="D16" s="2" t="n">
        <v>0</v>
      </c>
      <c r="E16" s="2" t="inlineStr">
        <is>
          <t>—</t>
        </is>
      </c>
      <c r="F16" s="2">
        <f>HYPERLINK("https://isrc.soundexchange.com/#/search?searchType=name&amp;query="&amp;ENCODEURL(A16&amp;" "&amp;B16),"🔍 Name Search")</f>
        <v/>
      </c>
      <c r="G16" s="2">
        <f>HYPERLINK("https://musicbrainz.org/search?query="&amp;ENCODEURL(A16&amp;" "&amp;B16)&amp;"&amp;type=recording","🎵 MusicBrainz")</f>
        <v/>
      </c>
      <c r="H16" s="2">
        <f>HYPERLINK("https://repertoire.bmi.com/search?title="&amp;ENCODEURL(B16)&amp;"&amp;searchIn=songview","📋 Songview")</f>
        <v/>
      </c>
      <c r="I16" s="2">
        <f>HYPERLINK("https://www.youtube.com/results?search_query="&amp;ENCODEURL(A16&amp;" "&amp;B16),"▶ YouTube")</f>
        <v/>
      </c>
      <c r="J16" s="2" t="inlineStr"/>
      <c r="K16" s="2" t="inlineStr">
        <is>
          <t>UNKNOWN</t>
        </is>
      </c>
      <c r="L16" t="inlineStr"/>
      <c r="M16" t="inlineStr"/>
    </row>
    <row r="17" ht="20" customHeight="1">
      <c r="A17" s="4" t="inlineStr">
        <is>
          <t>Maverick City Music</t>
        </is>
      </c>
      <c r="B17" s="4" t="inlineStr">
        <is>
          <t>Man of Your Word ft. Chandler Moore &amp; KJ Scriven</t>
        </is>
      </c>
      <c r="C17" s="4" t="inlineStr"/>
      <c r="D17" s="4" t="n">
        <v>0</v>
      </c>
      <c r="E17" s="4" t="inlineStr">
        <is>
          <t>—</t>
        </is>
      </c>
      <c r="F17" s="4">
        <f>HYPERLINK("https://isrc.soundexchange.com/#/search?searchType=name&amp;query="&amp;ENCODEURL(A17&amp;" "&amp;B17),"🔍 Name Search")</f>
        <v/>
      </c>
      <c r="G17" s="4">
        <f>HYPERLINK("https://musicbrainz.org/search?query="&amp;ENCODEURL(A17&amp;" "&amp;B17)&amp;"&amp;type=recording","🎵 MusicBrainz")</f>
        <v/>
      </c>
      <c r="H17" s="4">
        <f>HYPERLINK("https://repertoire.bmi.com/search?title="&amp;ENCODEURL(B17)&amp;"&amp;searchIn=songview","📋 Songview")</f>
        <v/>
      </c>
      <c r="I17" s="4">
        <f>HYPERLINK("https://www.youtube.com/results?search_query="&amp;ENCODEURL(A17&amp;" "&amp;B17),"▶ YouTube")</f>
        <v/>
      </c>
      <c r="J17" s="4" t="inlineStr">
        <is>
          <t>2020-04-17</t>
        </is>
      </c>
      <c r="K17" s="8" t="inlineStr">
        <is>
          <t>PARTIAL (2020)</t>
        </is>
      </c>
      <c r="L17" t="inlineStr"/>
      <c r="M17" t="inlineStr"/>
    </row>
    <row r="18" ht="20" customHeight="1">
      <c r="A18" s="2" t="inlineStr">
        <is>
          <t>Maverick City Music</t>
        </is>
      </c>
      <c r="B18" s="2" t="inlineStr">
        <is>
          <t>Hosanna (Praise Is Rising) (Remix)</t>
        </is>
      </c>
      <c r="C18" s="2" t="inlineStr"/>
      <c r="D18" s="2" t="n">
        <v>0</v>
      </c>
      <c r="E18" s="2" t="inlineStr">
        <is>
          <t>—</t>
        </is>
      </c>
      <c r="F18" s="2">
        <f>HYPERLINK("https://isrc.soundexchange.com/#/search?searchType=name&amp;query="&amp;ENCODEURL(A18&amp;" "&amp;B18),"🔍 Name Search")</f>
        <v/>
      </c>
      <c r="G18" s="2">
        <f>HYPERLINK("https://musicbrainz.org/search?query="&amp;ENCODEURL(A18&amp;" "&amp;B18)&amp;"&amp;type=recording","🎵 MusicBrainz")</f>
        <v/>
      </c>
      <c r="H18" s="2">
        <f>HYPERLINK("https://repertoire.bmi.com/search?title="&amp;ENCODEURL(B18)&amp;"&amp;searchIn=songview","📋 Songview")</f>
        <v/>
      </c>
      <c r="I18" s="2">
        <f>HYPERLINK("https://www.youtube.com/results?search_query="&amp;ENCODEURL(A18&amp;" "&amp;B18),"▶ YouTube")</f>
        <v/>
      </c>
      <c r="J18" s="2" t="inlineStr"/>
      <c r="K18" s="2" t="inlineStr">
        <is>
          <t>UNKNOWN</t>
        </is>
      </c>
      <c r="L18" t="inlineStr"/>
      <c r="M18" t="inlineStr"/>
    </row>
    <row r="19" ht="20" customHeight="1">
      <c r="A19" s="4" t="inlineStr">
        <is>
          <t>Maverick City Music</t>
        </is>
      </c>
      <c r="B19" s="4" t="inlineStr">
        <is>
          <t>Talking to Jesus ft. Elevation Worship</t>
        </is>
      </c>
      <c r="C19" s="4" t="inlineStr"/>
      <c r="D19" s="4" t="n">
        <v>0</v>
      </c>
      <c r="E19" s="4" t="inlineStr">
        <is>
          <t>—</t>
        </is>
      </c>
      <c r="F19" s="4">
        <f>HYPERLINK("https://isrc.soundexchange.com/#/search?searchType=name&amp;query="&amp;ENCODEURL(A19&amp;" "&amp;B19),"🔍 Name Search")</f>
        <v/>
      </c>
      <c r="G19" s="4">
        <f>HYPERLINK("https://musicbrainz.org/search?query="&amp;ENCODEURL(A19&amp;" "&amp;B19)&amp;"&amp;type=recording","🎵 MusicBrainz")</f>
        <v/>
      </c>
      <c r="H19" s="4">
        <f>HYPERLINK("https://repertoire.bmi.com/search?title="&amp;ENCODEURL(B19)&amp;"&amp;searchIn=songview","📋 Songview")</f>
        <v/>
      </c>
      <c r="I19" s="4">
        <f>HYPERLINK("https://www.youtube.com/results?search_query="&amp;ENCODEURL(A19&amp;" "&amp;B19),"▶ YouTube")</f>
        <v/>
      </c>
      <c r="J19" s="4" t="inlineStr"/>
      <c r="K19" s="4" t="inlineStr">
        <is>
          <t>UNKNOWN</t>
        </is>
      </c>
      <c r="L19" t="inlineStr"/>
      <c r="M19" t="inlineStr"/>
    </row>
    <row r="20" ht="20" customHeight="1">
      <c r="A20" s="2" t="inlineStr">
        <is>
          <t>Maverick City Music</t>
        </is>
      </c>
      <c r="B20" s="2" t="inlineStr">
        <is>
          <t>Wait on You ft. Elevation Worship &amp; Chandler Moore</t>
        </is>
      </c>
      <c r="C20" s="2" t="inlineStr"/>
      <c r="D20" s="2" t="n">
        <v>0</v>
      </c>
      <c r="E20" s="2" t="inlineStr">
        <is>
          <t>—</t>
        </is>
      </c>
      <c r="F20" s="2">
        <f>HYPERLINK("https://isrc.soundexchange.com/#/search?searchType=name&amp;query="&amp;ENCODEURL(A20&amp;" "&amp;B20),"🔍 Name Search")</f>
        <v/>
      </c>
      <c r="G20" s="2">
        <f>HYPERLINK("https://musicbrainz.org/search?query="&amp;ENCODEURL(A20&amp;" "&amp;B20)&amp;"&amp;type=recording","🎵 MusicBrainz")</f>
        <v/>
      </c>
      <c r="H20" s="2">
        <f>HYPERLINK("https://repertoire.bmi.com/search?title="&amp;ENCODEURL(B20)&amp;"&amp;searchIn=songview","📋 Songview")</f>
        <v/>
      </c>
      <c r="I20" s="2">
        <f>HYPERLINK("https://www.youtube.com/results?search_query="&amp;ENCODEURL(A20&amp;" "&amp;B20),"▶ YouTube")</f>
        <v/>
      </c>
      <c r="J20" s="2" t="inlineStr">
        <is>
          <t>2008</t>
        </is>
      </c>
      <c r="K20" s="6" t="inlineStr">
        <is>
          <t>CHECK — streaming? (2008)</t>
        </is>
      </c>
      <c r="L20" t="inlineStr"/>
      <c r="M20" t="inlineStr"/>
    </row>
    <row r="21" ht="20" customHeight="1">
      <c r="A21" s="4" t="inlineStr">
        <is>
          <t>Maverick City Music</t>
        </is>
      </c>
      <c r="B21" s="4" t="inlineStr">
        <is>
          <t>Refiner ft. Steffany Gretzinger</t>
        </is>
      </c>
      <c r="C21" s="4" t="inlineStr">
        <is>
          <t>TCAEM1957437</t>
        </is>
      </c>
      <c r="D21" s="4" t="n">
        <v>0</v>
      </c>
      <c r="E21" s="4">
        <f>HYPERLINK("https://isrc.soundexchange.com/#/search?searchType=code&amp;query=TCAEM1957437","🔍 ISRC Search")</f>
        <v/>
      </c>
      <c r="F21" s="4">
        <f>HYPERLINK("https://isrc.soundexchange.com/#/search?searchType=name&amp;query="&amp;ENCODEURL(A21&amp;" "&amp;B21),"🔍 Name Search")</f>
        <v/>
      </c>
      <c r="G21" s="4">
        <f>HYPERLINK("https://musicbrainz.org/isrc/TCAEM1957437","🎵 MusicBrainz")</f>
        <v/>
      </c>
      <c r="H21" s="4">
        <f>HYPERLINK("https://repertoire.bmi.com/search?title="&amp;ENCODEURL(B21)&amp;"&amp;searchIn=songview","📋 Songview")</f>
        <v/>
      </c>
      <c r="I21" s="4">
        <f>HYPERLINK("https://www.youtube.com/results?search_query="&amp;ENCODEURL(A21&amp;" "&amp;B21),"▶ YouTube")</f>
        <v/>
      </c>
      <c r="J21" s="4" t="inlineStr">
        <is>
          <t>2019-11-12</t>
        </is>
      </c>
      <c r="K21" s="8" t="inlineStr">
        <is>
          <t>PARTIAL (2019)</t>
        </is>
      </c>
      <c r="L21" t="inlineStr"/>
      <c r="M21" t="inlineStr"/>
    </row>
    <row r="22" ht="20" customHeight="1">
      <c r="A22" s="2" t="inlineStr">
        <is>
          <t>Elevation Worship</t>
        </is>
      </c>
      <c r="B22" s="2" t="inlineStr">
        <is>
          <t>Graves Into Gardens ft. Brandon Lake</t>
        </is>
      </c>
      <c r="C22" s="2" t="inlineStr">
        <is>
          <t>USPJT2000033</t>
        </is>
      </c>
      <c r="D22" s="2" t="n">
        <v>0</v>
      </c>
      <c r="E22" s="2">
        <f>HYPERLINK("https://isrc.soundexchange.com/#/search?searchType=code&amp;query=USPJT2000033","🔍 ISRC Search")</f>
        <v/>
      </c>
      <c r="F22" s="2">
        <f>HYPERLINK("https://isrc.soundexchange.com/#/search?searchType=name&amp;query="&amp;ENCODEURL(A22&amp;" "&amp;B22),"🔍 Name Search")</f>
        <v/>
      </c>
      <c r="G22" s="2">
        <f>HYPERLINK("https://musicbrainz.org/isrc/USPJT2000033","🎵 MusicBrainz")</f>
        <v/>
      </c>
      <c r="H22" s="2">
        <f>HYPERLINK("https://repertoire.bmi.com/search?title="&amp;ENCODEURL(B22)&amp;"&amp;searchIn=songview","📋 Songview")</f>
        <v/>
      </c>
      <c r="I22" s="2">
        <f>HYPERLINK("https://www.youtube.com/results?search_query="&amp;ENCODEURL(A22&amp;" "&amp;B22),"▶ YouTube")</f>
        <v/>
      </c>
      <c r="J22" s="2" t="inlineStr">
        <is>
          <t>2020-08-07</t>
        </is>
      </c>
      <c r="K22" s="3" t="inlineStr">
        <is>
          <t>PARTIAL (2020)</t>
        </is>
      </c>
      <c r="L22" t="inlineStr"/>
      <c r="M22" t="inlineStr"/>
    </row>
    <row r="23" ht="20" customHeight="1">
      <c r="A23" s="4" t="inlineStr">
        <is>
          <t>Elevation Worship</t>
        </is>
      </c>
      <c r="B23" s="4" t="inlineStr">
        <is>
          <t>O Come to the Altar (Remix)</t>
        </is>
      </c>
      <c r="C23" s="4" t="inlineStr"/>
      <c r="D23" s="4" t="n">
        <v>0</v>
      </c>
      <c r="E23" s="4" t="inlineStr">
        <is>
          <t>—</t>
        </is>
      </c>
      <c r="F23" s="4">
        <f>HYPERLINK("https://isrc.soundexchange.com/#/search?searchType=name&amp;query="&amp;ENCODEURL(A23&amp;" "&amp;B23),"🔍 Name Search")</f>
        <v/>
      </c>
      <c r="G23" s="4">
        <f>HYPERLINK("https://musicbrainz.org/search?query="&amp;ENCODEURL(A23&amp;" "&amp;B23)&amp;"&amp;type=recording","🎵 MusicBrainz")</f>
        <v/>
      </c>
      <c r="H23" s="4">
        <f>HYPERLINK("https://repertoire.bmi.com/search?title="&amp;ENCODEURL(B23)&amp;"&amp;searchIn=songview","📋 Songview")</f>
        <v/>
      </c>
      <c r="I23" s="4">
        <f>HYPERLINK("https://www.youtube.com/results?search_query="&amp;ENCODEURL(A23&amp;" "&amp;B23),"▶ YouTube")</f>
        <v/>
      </c>
      <c r="J23" s="4" t="inlineStr"/>
      <c r="K23" s="4" t="inlineStr">
        <is>
          <t>UNKNOWN</t>
        </is>
      </c>
      <c r="L23" t="inlineStr"/>
      <c r="M23" t="inlineStr"/>
    </row>
    <row r="24" ht="20" customHeight="1">
      <c r="A24" s="2" t="inlineStr">
        <is>
          <t>Elevation Worship</t>
        </is>
      </c>
      <c r="B24" s="2" t="inlineStr">
        <is>
          <t>Do It Again (Remix) ft. Tauren Wells</t>
        </is>
      </c>
      <c r="C24" s="2" t="inlineStr"/>
      <c r="D24" s="2" t="n">
        <v>0</v>
      </c>
      <c r="E24" s="2" t="inlineStr">
        <is>
          <t>—</t>
        </is>
      </c>
      <c r="F24" s="2">
        <f>HYPERLINK("https://isrc.soundexchange.com/#/search?searchType=name&amp;query="&amp;ENCODEURL(A24&amp;" "&amp;B24),"🔍 Name Search")</f>
        <v/>
      </c>
      <c r="G24" s="2">
        <f>HYPERLINK("https://musicbrainz.org/search?query="&amp;ENCODEURL(A24&amp;" "&amp;B24)&amp;"&amp;type=recording","🎵 MusicBrainz")</f>
        <v/>
      </c>
      <c r="H24" s="2">
        <f>HYPERLINK("https://repertoire.bmi.com/search?title="&amp;ENCODEURL(B24)&amp;"&amp;searchIn=songview","📋 Songview")</f>
        <v/>
      </c>
      <c r="I24" s="2">
        <f>HYPERLINK("https://www.youtube.com/results?search_query="&amp;ENCODEURL(A24&amp;" "&amp;B24),"▶ YouTube")</f>
        <v/>
      </c>
      <c r="J24" s="2" t="inlineStr"/>
      <c r="K24" s="2" t="inlineStr">
        <is>
          <t>UNKNOWN</t>
        </is>
      </c>
      <c r="L24" t="inlineStr"/>
      <c r="M24" t="inlineStr"/>
    </row>
    <row r="25" ht="20" customHeight="1">
      <c r="A25" s="4" t="inlineStr">
        <is>
          <t>Elevation Worship</t>
        </is>
      </c>
      <c r="B25" s="4" t="inlineStr">
        <is>
          <t>Worthy (Remix)</t>
        </is>
      </c>
      <c r="C25" s="4" t="inlineStr"/>
      <c r="D25" s="4" t="n">
        <v>0</v>
      </c>
      <c r="E25" s="4" t="inlineStr">
        <is>
          <t>—</t>
        </is>
      </c>
      <c r="F25" s="4">
        <f>HYPERLINK("https://isrc.soundexchange.com/#/search?searchType=name&amp;query="&amp;ENCODEURL(A25&amp;" "&amp;B25),"🔍 Name Search")</f>
        <v/>
      </c>
      <c r="G25" s="4">
        <f>HYPERLINK("https://musicbrainz.org/search?query="&amp;ENCODEURL(A25&amp;" "&amp;B25)&amp;"&amp;type=recording","🎵 MusicBrainz")</f>
        <v/>
      </c>
      <c r="H25" s="4">
        <f>HYPERLINK("https://repertoire.bmi.com/search?title="&amp;ENCODEURL(B25)&amp;"&amp;searchIn=songview","📋 Songview")</f>
        <v/>
      </c>
      <c r="I25" s="4">
        <f>HYPERLINK("https://www.youtube.com/results?search_query="&amp;ENCODEURL(A25&amp;" "&amp;B25),"▶ YouTube")</f>
        <v/>
      </c>
      <c r="J25" s="4" t="inlineStr"/>
      <c r="K25" s="4" t="inlineStr">
        <is>
          <t>UNKNOWN</t>
        </is>
      </c>
      <c r="L25" t="inlineStr"/>
      <c r="M25" t="inlineStr"/>
    </row>
    <row r="26" ht="20" customHeight="1">
      <c r="A26" s="2" t="inlineStr">
        <is>
          <t>Lecrae</t>
        </is>
      </c>
      <c r="B26" s="2" t="inlineStr">
        <is>
          <t>Blessings ft. Andy Mineo</t>
        </is>
      </c>
      <c r="C26" s="2" t="inlineStr"/>
      <c r="D26" s="2" t="n">
        <v>0</v>
      </c>
      <c r="E26" s="2" t="inlineStr">
        <is>
          <t>—</t>
        </is>
      </c>
      <c r="F26" s="2">
        <f>HYPERLINK("https://isrc.soundexchange.com/#/search?searchType=name&amp;query="&amp;ENCODEURL(A26&amp;" "&amp;B26),"🔍 Name Search")</f>
        <v/>
      </c>
      <c r="G26" s="2">
        <f>HYPERLINK("https://musicbrainz.org/search?query="&amp;ENCODEURL(A26&amp;" "&amp;B26)&amp;"&amp;type=recording","🎵 MusicBrainz")</f>
        <v/>
      </c>
      <c r="H26" s="2">
        <f>HYPERLINK("https://repertoire.bmi.com/search?title="&amp;ENCODEURL(B26)&amp;"&amp;searchIn=songview","📋 Songview")</f>
        <v/>
      </c>
      <c r="I26" s="2">
        <f>HYPERLINK("https://www.youtube.com/results?search_query="&amp;ENCODEURL(A26&amp;" "&amp;B26),"▶ YouTube")</f>
        <v/>
      </c>
      <c r="J26" s="2" t="inlineStr"/>
      <c r="K26" s="2" t="inlineStr">
        <is>
          <t>UNKNOWN</t>
        </is>
      </c>
      <c r="L26" t="inlineStr"/>
      <c r="M26" t="inlineStr"/>
    </row>
    <row r="27" ht="20" customHeight="1">
      <c r="A27" s="4" t="inlineStr">
        <is>
          <t>Lecrae</t>
        </is>
      </c>
      <c r="B27" s="4" t="inlineStr">
        <is>
          <t>Andy Mineo All I Need Is You (Remix) ft. Lecrae</t>
        </is>
      </c>
      <c r="C27" s="4" t="inlineStr"/>
      <c r="D27" s="4" t="n">
        <v>0</v>
      </c>
      <c r="E27" s="4" t="inlineStr">
        <is>
          <t>—</t>
        </is>
      </c>
      <c r="F27" s="4">
        <f>HYPERLINK("https://isrc.soundexchange.com/#/search?searchType=name&amp;query="&amp;ENCODEURL(A27&amp;" "&amp;B27),"🔍 Name Search")</f>
        <v/>
      </c>
      <c r="G27" s="4">
        <f>HYPERLINK("https://musicbrainz.org/search?query="&amp;ENCODEURL(A27&amp;" "&amp;B27)&amp;"&amp;type=recording","🎵 MusicBrainz")</f>
        <v/>
      </c>
      <c r="H27" s="4">
        <f>HYPERLINK("https://repertoire.bmi.com/search?title="&amp;ENCODEURL(B27)&amp;"&amp;searchIn=songview","📋 Songview")</f>
        <v/>
      </c>
      <c r="I27" s="4">
        <f>HYPERLINK("https://www.youtube.com/results?search_query="&amp;ENCODEURL(A27&amp;" "&amp;B27),"▶ YouTube")</f>
        <v/>
      </c>
      <c r="J27" s="4" t="inlineStr"/>
      <c r="K27" s="4" t="inlineStr">
        <is>
          <t>UNKNOWN</t>
        </is>
      </c>
      <c r="L27" t="inlineStr"/>
      <c r="M27" t="inlineStr"/>
    </row>
    <row r="28" ht="20" customHeight="1">
      <c r="A28" s="2" t="inlineStr">
        <is>
          <t>Lecrae</t>
        </is>
      </c>
      <c r="B28" s="2" t="inlineStr">
        <is>
          <t>Telling the World (Remix)</t>
        </is>
      </c>
      <c r="C28" s="2" t="inlineStr"/>
      <c r="D28" s="2" t="n">
        <v>0</v>
      </c>
      <c r="E28" s="2" t="inlineStr">
        <is>
          <t>—</t>
        </is>
      </c>
      <c r="F28" s="2">
        <f>HYPERLINK("https://isrc.soundexchange.com/#/search?searchType=name&amp;query="&amp;ENCODEURL(A28&amp;" "&amp;B28),"🔍 Name Search")</f>
        <v/>
      </c>
      <c r="G28" s="2">
        <f>HYPERLINK("https://musicbrainz.org/search?query="&amp;ENCODEURL(A28&amp;" "&amp;B28)&amp;"&amp;type=recording","🎵 MusicBrainz")</f>
        <v/>
      </c>
      <c r="H28" s="2">
        <f>HYPERLINK("https://repertoire.bmi.com/search?title="&amp;ENCODEURL(B28)&amp;"&amp;searchIn=songview","📋 Songview")</f>
        <v/>
      </c>
      <c r="I28" s="2">
        <f>HYPERLINK("https://www.youtube.com/results?search_query="&amp;ENCODEURL(A28&amp;" "&amp;B28),"▶ YouTube")</f>
        <v/>
      </c>
      <c r="J28" s="2" t="inlineStr"/>
      <c r="K28" s="2" t="inlineStr">
        <is>
          <t>UNKNOWN</t>
        </is>
      </c>
      <c r="L28" t="inlineStr"/>
      <c r="M28" t="inlineStr"/>
    </row>
    <row r="29" ht="20" customHeight="1">
      <c r="A29" s="4" t="inlineStr">
        <is>
          <t>Lecrae</t>
        </is>
      </c>
      <c r="B29" s="4" t="inlineStr">
        <is>
          <t>Mayday ft. Propaganda</t>
        </is>
      </c>
      <c r="C29" s="4" t="inlineStr"/>
      <c r="D29" s="4" t="n">
        <v>0</v>
      </c>
      <c r="E29" s="4" t="inlineStr">
        <is>
          <t>—</t>
        </is>
      </c>
      <c r="F29" s="4">
        <f>HYPERLINK("https://isrc.soundexchange.com/#/search?searchType=name&amp;query="&amp;ENCODEURL(A29&amp;" "&amp;B29),"🔍 Name Search")</f>
        <v/>
      </c>
      <c r="G29" s="4">
        <f>HYPERLINK("https://musicbrainz.org/search?query="&amp;ENCODEURL(A29&amp;" "&amp;B29)&amp;"&amp;type=recording","🎵 MusicBrainz")</f>
        <v/>
      </c>
      <c r="H29" s="4">
        <f>HYPERLINK("https://repertoire.bmi.com/search?title="&amp;ENCODEURL(B29)&amp;"&amp;searchIn=songview","📋 Songview")</f>
        <v/>
      </c>
      <c r="I29" s="4">
        <f>HYPERLINK("https://www.youtube.com/results?search_query="&amp;ENCODEURL(A29&amp;" "&amp;B29),"▶ YouTube")</f>
        <v/>
      </c>
      <c r="J29" s="4" t="inlineStr"/>
      <c r="K29" s="4" t="inlineStr">
        <is>
          <t>UNKNOWN</t>
        </is>
      </c>
      <c r="L29" t="inlineStr"/>
      <c r="M29" t="inlineStr"/>
    </row>
    <row r="30" ht="20" customHeight="1">
      <c r="A30" s="2" t="inlineStr">
        <is>
          <t>Lecrae</t>
        </is>
      </c>
      <c r="B30" s="2" t="inlineStr">
        <is>
          <t>Can't Stop Me Now (Destination) ft. Trip Lee</t>
        </is>
      </c>
      <c r="C30" s="2" t="inlineStr"/>
      <c r="D30" s="2" t="n">
        <v>0</v>
      </c>
      <c r="E30" s="2" t="inlineStr">
        <is>
          <t>—</t>
        </is>
      </c>
      <c r="F30" s="2">
        <f>HYPERLINK("https://isrc.soundexchange.com/#/search?searchType=name&amp;query="&amp;ENCODEURL(A30&amp;" "&amp;B30),"🔍 Name Search")</f>
        <v/>
      </c>
      <c r="G30" s="2">
        <f>HYPERLINK("https://musicbrainz.org/search?query="&amp;ENCODEURL(A30&amp;" "&amp;B30)&amp;"&amp;type=recording","🎵 MusicBrainz")</f>
        <v/>
      </c>
      <c r="H30" s="2">
        <f>HYPERLINK("https://repertoire.bmi.com/search?title="&amp;ENCODEURL(B30)&amp;"&amp;searchIn=songview","📋 Songview")</f>
        <v/>
      </c>
      <c r="I30" s="2">
        <f>HYPERLINK("https://www.youtube.com/results?search_query="&amp;ENCODEURL(A30&amp;" "&amp;B30),"▶ YouTube")</f>
        <v/>
      </c>
      <c r="J30" s="2" t="inlineStr"/>
      <c r="K30" s="2" t="inlineStr">
        <is>
          <t>UNKNOWN</t>
        </is>
      </c>
      <c r="L30" t="inlineStr"/>
      <c r="M30" t="inlineStr"/>
    </row>
    <row r="31" ht="20" customHeight="1">
      <c r="A31" s="4" t="inlineStr">
        <is>
          <t>Andy Mineo</t>
        </is>
      </c>
      <c r="B31" s="4" t="inlineStr">
        <is>
          <t>You Can't Stop Me (Remix)</t>
        </is>
      </c>
      <c r="C31" s="4" t="inlineStr">
        <is>
          <t>QMTND1101501</t>
        </is>
      </c>
      <c r="D31" s="4" t="n">
        <v>0</v>
      </c>
      <c r="E31" s="4">
        <f>HYPERLINK("https://isrc.soundexchange.com/#/search?searchType=code&amp;query=QMTND1101501","🔍 ISRC Search")</f>
        <v/>
      </c>
      <c r="F31" s="4">
        <f>HYPERLINK("https://isrc.soundexchange.com/#/search?searchType=name&amp;query="&amp;ENCODEURL(A31&amp;" "&amp;B31),"🔍 Name Search")</f>
        <v/>
      </c>
      <c r="G31" s="4">
        <f>HYPERLINK("https://musicbrainz.org/isrc/QMTND1101501","🎵 MusicBrainz")</f>
        <v/>
      </c>
      <c r="H31" s="4">
        <f>HYPERLINK("https://repertoire.bmi.com/search?title="&amp;ENCODEURL(B31)&amp;"&amp;searchIn=songview","📋 Songview")</f>
        <v/>
      </c>
      <c r="I31" s="4">
        <f>HYPERLINK("https://www.youtube.com/results?search_query="&amp;ENCODEURL(A31&amp;" "&amp;B31),"▶ YouTube")</f>
        <v/>
      </c>
      <c r="J31" s="4" t="inlineStr">
        <is>
          <t>2018-04-11</t>
        </is>
      </c>
      <c r="K31" s="5" t="inlineStr">
        <is>
          <t>CHECK — streaming? (2018)</t>
        </is>
      </c>
      <c r="L31" t="inlineStr"/>
      <c r="M31" t="inlineStr"/>
    </row>
    <row r="32" ht="20" customHeight="1">
      <c r="A32" s="2" t="inlineStr">
        <is>
          <t>Andy Mineo</t>
        </is>
      </c>
      <c r="B32" s="2" t="inlineStr">
        <is>
          <t>Uncomfortable (Remix)</t>
        </is>
      </c>
      <c r="C32" s="2" t="inlineStr"/>
      <c r="D32" s="2" t="n">
        <v>0</v>
      </c>
      <c r="E32" s="2" t="inlineStr">
        <is>
          <t>—</t>
        </is>
      </c>
      <c r="F32" s="2">
        <f>HYPERLINK("https://isrc.soundexchange.com/#/search?searchType=name&amp;query="&amp;ENCODEURL(A32&amp;" "&amp;B32),"🔍 Name Search")</f>
        <v/>
      </c>
      <c r="G32" s="2">
        <f>HYPERLINK("https://musicbrainz.org/search?query="&amp;ENCODEURL(A32&amp;" "&amp;B32)&amp;"&amp;type=recording","🎵 MusicBrainz")</f>
        <v/>
      </c>
      <c r="H32" s="2">
        <f>HYPERLINK("https://repertoire.bmi.com/search?title="&amp;ENCODEURL(B32)&amp;"&amp;searchIn=songview","📋 Songview")</f>
        <v/>
      </c>
      <c r="I32" s="2">
        <f>HYPERLINK("https://www.youtube.com/results?search_query="&amp;ENCODEURL(A32&amp;" "&amp;B32),"▶ YouTube")</f>
        <v/>
      </c>
      <c r="J32" s="2" t="inlineStr"/>
      <c r="K32" s="2" t="inlineStr">
        <is>
          <t>UNKNOWN</t>
        </is>
      </c>
      <c r="L32" t="inlineStr"/>
      <c r="M32" t="inlineStr"/>
    </row>
    <row r="33" ht="20" customHeight="1">
      <c r="A33" s="4" t="inlineStr">
        <is>
          <t>Andy Mineo</t>
        </is>
      </c>
      <c r="B33" s="4" t="inlineStr">
        <is>
          <t>Uno Uno Seis ft. KB</t>
        </is>
      </c>
      <c r="C33" s="4" t="inlineStr"/>
      <c r="D33" s="4" t="n">
        <v>0</v>
      </c>
      <c r="E33" s="4" t="inlineStr">
        <is>
          <t>—</t>
        </is>
      </c>
      <c r="F33" s="4">
        <f>HYPERLINK("https://isrc.soundexchange.com/#/search?searchType=name&amp;query="&amp;ENCODEURL(A33&amp;" "&amp;B33),"🔍 Name Search")</f>
        <v/>
      </c>
      <c r="G33" s="4">
        <f>HYPERLINK("https://musicbrainz.org/search?query="&amp;ENCODEURL(A33&amp;" "&amp;B33)&amp;"&amp;type=recording","🎵 MusicBrainz")</f>
        <v/>
      </c>
      <c r="H33" s="4">
        <f>HYPERLINK("https://repertoire.bmi.com/search?title="&amp;ENCODEURL(B33)&amp;"&amp;searchIn=songview","📋 Songview")</f>
        <v/>
      </c>
      <c r="I33" s="4">
        <f>HYPERLINK("https://www.youtube.com/results?search_query="&amp;ENCODEURL(A33&amp;" "&amp;B33),"▶ YouTube")</f>
        <v/>
      </c>
      <c r="J33" s="4" t="inlineStr"/>
      <c r="K33" s="4" t="inlineStr">
        <is>
          <t>UNKNOWN</t>
        </is>
      </c>
      <c r="L33" t="inlineStr"/>
      <c r="M33" t="inlineStr"/>
    </row>
    <row r="34" ht="20" customHeight="1">
      <c r="A34" s="2" t="inlineStr">
        <is>
          <t>Jonathan McReynolds</t>
        </is>
      </c>
      <c r="B34" s="2" t="inlineStr">
        <is>
          <t>Not Lucky I'm Loved</t>
        </is>
      </c>
      <c r="C34" s="2" t="inlineStr"/>
      <c r="D34" s="2" t="n">
        <v>0</v>
      </c>
      <c r="E34" s="2" t="inlineStr">
        <is>
          <t>—</t>
        </is>
      </c>
      <c r="F34" s="2">
        <f>HYPERLINK("https://isrc.soundexchange.com/#/search?searchType=name&amp;query="&amp;ENCODEURL(A34&amp;" "&amp;B34),"🔍 Name Search")</f>
        <v/>
      </c>
      <c r="G34" s="2">
        <f>HYPERLINK("https://musicbrainz.org/search?query="&amp;ENCODEURL(A34&amp;" "&amp;B34)&amp;"&amp;type=recording","🎵 MusicBrainz")</f>
        <v/>
      </c>
      <c r="H34" s="2">
        <f>HYPERLINK("https://repertoire.bmi.com/search?title="&amp;ENCODEURL(B34)&amp;"&amp;searchIn=songview","📋 Songview")</f>
        <v/>
      </c>
      <c r="I34" s="2">
        <f>HYPERLINK("https://www.youtube.com/results?search_query="&amp;ENCODEURL(A34&amp;" "&amp;B34),"▶ YouTube")</f>
        <v/>
      </c>
      <c r="J34" s="2" t="inlineStr">
        <is>
          <t>2018-09-07</t>
        </is>
      </c>
      <c r="K34" s="6" t="inlineStr">
        <is>
          <t>CHECK — streaming? (2018)</t>
        </is>
      </c>
      <c r="L34" t="inlineStr"/>
      <c r="M34" t="inlineStr"/>
    </row>
    <row r="35" ht="20" customHeight="1">
      <c r="A35" s="4" t="inlineStr">
        <is>
          <t>Jonathan McReynolds</t>
        </is>
      </c>
      <c r="B35" s="4" t="inlineStr">
        <is>
          <t>Cycles (Remix)</t>
        </is>
      </c>
      <c r="C35" s="4" t="inlineStr"/>
      <c r="D35" s="4" t="n">
        <v>0</v>
      </c>
      <c r="E35" s="4" t="inlineStr">
        <is>
          <t>—</t>
        </is>
      </c>
      <c r="F35" s="4">
        <f>HYPERLINK("https://isrc.soundexchange.com/#/search?searchType=name&amp;query="&amp;ENCODEURL(A35&amp;" "&amp;B35),"🔍 Name Search")</f>
        <v/>
      </c>
      <c r="G35" s="4">
        <f>HYPERLINK("https://musicbrainz.org/search?query="&amp;ENCODEURL(A35&amp;" "&amp;B35)&amp;"&amp;type=recording","🎵 MusicBrainz")</f>
        <v/>
      </c>
      <c r="H35" s="4">
        <f>HYPERLINK("https://repertoire.bmi.com/search?title="&amp;ENCODEURL(B35)&amp;"&amp;searchIn=songview","📋 Songview")</f>
        <v/>
      </c>
      <c r="I35" s="4">
        <f>HYPERLINK("https://www.youtube.com/results?search_query="&amp;ENCODEURL(A35&amp;" "&amp;B35),"▶ YouTube")</f>
        <v/>
      </c>
      <c r="J35" s="4" t="inlineStr"/>
      <c r="K35" s="4" t="inlineStr">
        <is>
          <t>UNKNOWN</t>
        </is>
      </c>
      <c r="L35" t="inlineStr"/>
      <c r="M35" t="inlineStr"/>
    </row>
    <row r="36" ht="20" customHeight="1">
      <c r="A36" s="2" t="inlineStr">
        <is>
          <t>Jonathan McReynolds</t>
        </is>
      </c>
      <c r="B36" s="2" t="inlineStr">
        <is>
          <t>Make Room (Remix) ft. Mali Music</t>
        </is>
      </c>
      <c r="C36" s="2" t="inlineStr"/>
      <c r="D36" s="2" t="n">
        <v>0</v>
      </c>
      <c r="E36" s="2" t="inlineStr">
        <is>
          <t>—</t>
        </is>
      </c>
      <c r="F36" s="2">
        <f>HYPERLINK("https://isrc.soundexchange.com/#/search?searchType=name&amp;query="&amp;ENCODEURL(A36&amp;" "&amp;B36),"🔍 Name Search")</f>
        <v/>
      </c>
      <c r="G36" s="2">
        <f>HYPERLINK("https://musicbrainz.org/search?query="&amp;ENCODEURL(A36&amp;" "&amp;B36)&amp;"&amp;type=recording","🎵 MusicBrainz")</f>
        <v/>
      </c>
      <c r="H36" s="2">
        <f>HYPERLINK("https://repertoire.bmi.com/search?title="&amp;ENCODEURL(B36)&amp;"&amp;searchIn=songview","📋 Songview")</f>
        <v/>
      </c>
      <c r="I36" s="2">
        <f>HYPERLINK("https://www.youtube.com/results?search_query="&amp;ENCODEURL(A36&amp;" "&amp;B36),"▶ YouTube")</f>
        <v/>
      </c>
      <c r="J36" s="2" t="inlineStr"/>
      <c r="K36" s="2" t="inlineStr">
        <is>
          <t>UNKNOWN</t>
        </is>
      </c>
      <c r="L36" t="inlineStr"/>
      <c r="M36" t="inlineStr"/>
    </row>
    <row r="37" ht="20" customHeight="1">
      <c r="A37" s="4" t="inlineStr">
        <is>
          <t>Jonathan McReynolds</t>
        </is>
      </c>
      <c r="B37" s="4" t="inlineStr">
        <is>
          <t>People</t>
        </is>
      </c>
      <c r="C37" s="4" t="inlineStr"/>
      <c r="D37" s="4" t="n">
        <v>0</v>
      </c>
      <c r="E37" s="4" t="inlineStr">
        <is>
          <t>—</t>
        </is>
      </c>
      <c r="F37" s="4">
        <f>HYPERLINK("https://isrc.soundexchange.com/#/search?searchType=name&amp;query="&amp;ENCODEURL(A37&amp;" "&amp;B37),"🔍 Name Search")</f>
        <v/>
      </c>
      <c r="G37" s="4">
        <f>HYPERLINK("https://musicbrainz.org/search?query="&amp;ENCODEURL(A37&amp;" "&amp;B37)&amp;"&amp;type=recording","🎵 MusicBrainz")</f>
        <v/>
      </c>
      <c r="H37" s="4">
        <f>HYPERLINK("https://repertoire.bmi.com/search?title="&amp;ENCODEURL(B37)&amp;"&amp;searchIn=songview","📋 Songview")</f>
        <v/>
      </c>
      <c r="I37" s="4">
        <f>HYPERLINK("https://www.youtube.com/results?search_query="&amp;ENCODEURL(A37&amp;" "&amp;B37),"▶ YouTube")</f>
        <v/>
      </c>
      <c r="J37" s="4" t="inlineStr">
        <is>
          <t>2020-04-03</t>
        </is>
      </c>
      <c r="K37" s="8" t="inlineStr">
        <is>
          <t>PARTIAL (2020)</t>
        </is>
      </c>
      <c r="L37" t="inlineStr"/>
      <c r="M37" t="inlineStr"/>
    </row>
    <row r="38" ht="20" customHeight="1">
      <c r="A38" s="2" t="inlineStr">
        <is>
          <t>Jonathan McReynolds</t>
        </is>
      </c>
      <c r="B38" s="2" t="inlineStr">
        <is>
          <t>Grace (Remix)</t>
        </is>
      </c>
      <c r="C38" s="2" t="inlineStr"/>
      <c r="D38" s="2" t="n">
        <v>0</v>
      </c>
      <c r="E38" s="2" t="inlineStr">
        <is>
          <t>—</t>
        </is>
      </c>
      <c r="F38" s="2">
        <f>HYPERLINK("https://isrc.soundexchange.com/#/search?searchType=name&amp;query="&amp;ENCODEURL(A38&amp;" "&amp;B38),"🔍 Name Search")</f>
        <v/>
      </c>
      <c r="G38" s="2">
        <f>HYPERLINK("https://musicbrainz.org/search?query="&amp;ENCODEURL(A38&amp;" "&amp;B38)&amp;"&amp;type=recording","🎵 MusicBrainz")</f>
        <v/>
      </c>
      <c r="H38" s="2">
        <f>HYPERLINK("https://repertoire.bmi.com/search?title="&amp;ENCODEURL(B38)&amp;"&amp;searchIn=songview","📋 Songview")</f>
        <v/>
      </c>
      <c r="I38" s="2">
        <f>HYPERLINK("https://www.youtube.com/results?search_query="&amp;ENCODEURL(A38&amp;" "&amp;B38),"▶ YouTube")</f>
        <v/>
      </c>
      <c r="J38" s="2" t="inlineStr"/>
      <c r="K38" s="2" t="inlineStr">
        <is>
          <t>UNKNOWN</t>
        </is>
      </c>
      <c r="L38" t="inlineStr"/>
      <c r="M38" t="inlineStr"/>
    </row>
    <row r="39" ht="20" customHeight="1">
      <c r="A39" s="4" t="inlineStr">
        <is>
          <t>Koryn Hawthorne</t>
        </is>
      </c>
      <c r="B39" s="4" t="inlineStr">
        <is>
          <t>Won't He Do It (Remix)</t>
        </is>
      </c>
      <c r="C39" s="4" t="inlineStr">
        <is>
          <t>USA5W1700215</t>
        </is>
      </c>
      <c r="D39" s="4" t="n">
        <v>0</v>
      </c>
      <c r="E39" s="4">
        <f>HYPERLINK("https://isrc.soundexchange.com/#/search?searchType=code&amp;query=USA5W1700215","🔍 ISRC Search")</f>
        <v/>
      </c>
      <c r="F39" s="4">
        <f>HYPERLINK("https://isrc.soundexchange.com/#/search?searchType=name&amp;query="&amp;ENCODEURL(A39&amp;" "&amp;B39),"🔍 Name Search")</f>
        <v/>
      </c>
      <c r="G39" s="4">
        <f>HYPERLINK("https://musicbrainz.org/isrc/USA5W1700215","🎵 MusicBrainz")</f>
        <v/>
      </c>
      <c r="H39" s="4">
        <f>HYPERLINK("https://repertoire.bmi.com/search?title="&amp;ENCODEURL(B39)&amp;"&amp;searchIn=songview","📋 Songview")</f>
        <v/>
      </c>
      <c r="I39" s="4">
        <f>HYPERLINK("https://www.youtube.com/results?search_query="&amp;ENCODEURL(A39&amp;" "&amp;B39),"▶ YouTube")</f>
        <v/>
      </c>
      <c r="J39" s="4" t="inlineStr">
        <is>
          <t>2018-07-13</t>
        </is>
      </c>
      <c r="K39" s="5" t="inlineStr">
        <is>
          <t>CHECK — streaming? (2018)</t>
        </is>
      </c>
      <c r="L39" t="inlineStr"/>
      <c r="M39" t="inlineStr"/>
    </row>
    <row r="40" ht="20" customHeight="1">
      <c r="A40" s="2" t="inlineStr">
        <is>
          <t>Koryn Hawthorne</t>
        </is>
      </c>
      <c r="B40" s="2" t="inlineStr">
        <is>
          <t>Speak the Name ft. Charles Jenkins</t>
        </is>
      </c>
      <c r="C40" s="2" t="inlineStr"/>
      <c r="D40" s="2" t="n">
        <v>0</v>
      </c>
      <c r="E40" s="2" t="inlineStr">
        <is>
          <t>—</t>
        </is>
      </c>
      <c r="F40" s="2">
        <f>HYPERLINK("https://isrc.soundexchange.com/#/search?searchType=name&amp;query="&amp;ENCODEURL(A40&amp;" "&amp;B40),"🔍 Name Search")</f>
        <v/>
      </c>
      <c r="G40" s="2">
        <f>HYPERLINK("https://musicbrainz.org/search?query="&amp;ENCODEURL(A40&amp;" "&amp;B40)&amp;"&amp;type=recording","🎵 MusicBrainz")</f>
        <v/>
      </c>
      <c r="H40" s="2">
        <f>HYPERLINK("https://repertoire.bmi.com/search?title="&amp;ENCODEURL(B40)&amp;"&amp;searchIn=songview","📋 Songview")</f>
        <v/>
      </c>
      <c r="I40" s="2">
        <f>HYPERLINK("https://www.youtube.com/results?search_query="&amp;ENCODEURL(A40&amp;" "&amp;B40),"▶ YouTube")</f>
        <v/>
      </c>
      <c r="J40" s="2" t="inlineStr"/>
      <c r="K40" s="2" t="inlineStr">
        <is>
          <t>UNKNOWN</t>
        </is>
      </c>
      <c r="L40" t="inlineStr"/>
      <c r="M40" t="inlineStr"/>
    </row>
    <row r="41" ht="20" customHeight="1">
      <c r="A41" s="4" t="inlineStr">
        <is>
          <t>Koryn Hawthorne</t>
        </is>
      </c>
      <c r="B41" s="4" t="inlineStr">
        <is>
          <t>Unstoppable (Remix)</t>
        </is>
      </c>
      <c r="C41" s="4" t="inlineStr"/>
      <c r="D41" s="4" t="n">
        <v>0</v>
      </c>
      <c r="E41" s="4" t="inlineStr">
        <is>
          <t>—</t>
        </is>
      </c>
      <c r="F41" s="4">
        <f>HYPERLINK("https://isrc.soundexchange.com/#/search?searchType=name&amp;query="&amp;ENCODEURL(A41&amp;" "&amp;B41),"🔍 Name Search")</f>
        <v/>
      </c>
      <c r="G41" s="4">
        <f>HYPERLINK("https://musicbrainz.org/search?query="&amp;ENCODEURL(A41&amp;" "&amp;B41)&amp;"&amp;type=recording","🎵 MusicBrainz")</f>
        <v/>
      </c>
      <c r="H41" s="4">
        <f>HYPERLINK("https://repertoire.bmi.com/search?title="&amp;ENCODEURL(B41)&amp;"&amp;searchIn=songview","📋 Songview")</f>
        <v/>
      </c>
      <c r="I41" s="4">
        <f>HYPERLINK("https://www.youtube.com/results?search_query="&amp;ENCODEURL(A41&amp;" "&amp;B41),"▶ YouTube")</f>
        <v/>
      </c>
      <c r="J41" s="4" t="inlineStr"/>
      <c r="K41" s="4" t="inlineStr">
        <is>
          <t>UNKNOWN</t>
        </is>
      </c>
      <c r="L41" t="inlineStr"/>
      <c r="M41" t="inlineStr"/>
    </row>
    <row r="42" ht="20" customHeight="1">
      <c r="A42" s="2" t="inlineStr">
        <is>
          <t>Kierra Sheard</t>
        </is>
      </c>
      <c r="B42" s="2" t="inlineStr">
        <is>
          <t>It Keeps Happening (Remix)</t>
        </is>
      </c>
      <c r="C42" s="2" t="inlineStr"/>
      <c r="D42" s="2" t="n">
        <v>0</v>
      </c>
      <c r="E42" s="2" t="inlineStr">
        <is>
          <t>—</t>
        </is>
      </c>
      <c r="F42" s="2">
        <f>HYPERLINK("https://isrc.soundexchange.com/#/search?searchType=name&amp;query="&amp;ENCODEURL(A42&amp;" "&amp;B42),"🔍 Name Search")</f>
        <v/>
      </c>
      <c r="G42" s="2">
        <f>HYPERLINK("https://musicbrainz.org/search?query="&amp;ENCODEURL(A42&amp;" "&amp;B42)&amp;"&amp;type=recording","🎵 MusicBrainz")</f>
        <v/>
      </c>
      <c r="H42" s="2">
        <f>HYPERLINK("https://repertoire.bmi.com/search?title="&amp;ENCODEURL(B42)&amp;"&amp;searchIn=songview","📋 Songview")</f>
        <v/>
      </c>
      <c r="I42" s="2">
        <f>HYPERLINK("https://www.youtube.com/results?search_query="&amp;ENCODEURL(A42&amp;" "&amp;B42),"▶ YouTube")</f>
        <v/>
      </c>
      <c r="J42" s="2" t="inlineStr"/>
      <c r="K42" s="2" t="inlineStr">
        <is>
          <t>UNKNOWN</t>
        </is>
      </c>
      <c r="L42" t="inlineStr"/>
      <c r="M42" t="inlineStr"/>
    </row>
    <row r="43" ht="20" customHeight="1">
      <c r="A43" s="4" t="inlineStr">
        <is>
          <t>Kierra Sheard</t>
        </is>
      </c>
      <c r="B43" s="4" t="inlineStr">
        <is>
          <t>You Don't Know (Remix) ft. Missy Elliott</t>
        </is>
      </c>
      <c r="C43" s="4" t="inlineStr"/>
      <c r="D43" s="4" t="n">
        <v>0</v>
      </c>
      <c r="E43" s="4" t="inlineStr">
        <is>
          <t>—</t>
        </is>
      </c>
      <c r="F43" s="4">
        <f>HYPERLINK("https://isrc.soundexchange.com/#/search?searchType=name&amp;query="&amp;ENCODEURL(A43&amp;" "&amp;B43),"🔍 Name Search")</f>
        <v/>
      </c>
      <c r="G43" s="4">
        <f>HYPERLINK("https://musicbrainz.org/search?query="&amp;ENCODEURL(A43&amp;" "&amp;B43)&amp;"&amp;type=recording","🎵 MusicBrainz")</f>
        <v/>
      </c>
      <c r="H43" s="4">
        <f>HYPERLINK("https://repertoire.bmi.com/search?title="&amp;ENCODEURL(B43)&amp;"&amp;searchIn=songview","📋 Songview")</f>
        <v/>
      </c>
      <c r="I43" s="4">
        <f>HYPERLINK("https://www.youtube.com/results?search_query="&amp;ENCODEURL(A43&amp;" "&amp;B43),"▶ YouTube")</f>
        <v/>
      </c>
      <c r="J43" s="4" t="inlineStr"/>
      <c r="K43" s="4" t="inlineStr">
        <is>
          <t>UNKNOWN</t>
        </is>
      </c>
      <c r="L43" t="inlineStr"/>
      <c r="M43" t="inlineStr"/>
    </row>
    <row r="44" ht="20" customHeight="1">
      <c r="A44" s="2" t="inlineStr">
        <is>
          <t>Kierra Sheard</t>
        </is>
      </c>
      <c r="B44" s="2" t="inlineStr">
        <is>
          <t>Indescribable ft. Tasha Cobbs Leonard</t>
        </is>
      </c>
      <c r="C44" s="2" t="inlineStr"/>
      <c r="D44" s="2" t="n">
        <v>0</v>
      </c>
      <c r="E44" s="2" t="inlineStr">
        <is>
          <t>—</t>
        </is>
      </c>
      <c r="F44" s="2">
        <f>HYPERLINK("https://isrc.soundexchange.com/#/search?searchType=name&amp;query="&amp;ENCODEURL(A44&amp;" "&amp;B44),"🔍 Name Search")</f>
        <v/>
      </c>
      <c r="G44" s="2">
        <f>HYPERLINK("https://musicbrainz.org/search?query="&amp;ENCODEURL(A44&amp;" "&amp;B44)&amp;"&amp;type=recording","🎵 MusicBrainz")</f>
        <v/>
      </c>
      <c r="H44" s="2">
        <f>HYPERLINK("https://repertoire.bmi.com/search?title="&amp;ENCODEURL(B44)&amp;"&amp;searchIn=songview","📋 Songview")</f>
        <v/>
      </c>
      <c r="I44" s="2">
        <f>HYPERLINK("https://www.youtube.com/results?search_query="&amp;ENCODEURL(A44&amp;" "&amp;B44),"▶ YouTube")</f>
        <v/>
      </c>
      <c r="J44" s="2" t="inlineStr"/>
      <c r="K44" s="2" t="inlineStr">
        <is>
          <t>UNKNOWN</t>
        </is>
      </c>
      <c r="L44" t="inlineStr"/>
      <c r="M44" t="inlineStr"/>
    </row>
    <row r="45" ht="20" customHeight="1">
      <c r="A45" s="4" t="inlineStr">
        <is>
          <t>Erica Campbell</t>
        </is>
      </c>
      <c r="B45" s="4" t="inlineStr">
        <is>
          <t>I Luh God (Remix) ft. Lecrae</t>
        </is>
      </c>
      <c r="C45" s="4" t="inlineStr"/>
      <c r="D45" s="4" t="n">
        <v>0</v>
      </c>
      <c r="E45" s="4" t="inlineStr">
        <is>
          <t>—</t>
        </is>
      </c>
      <c r="F45" s="4">
        <f>HYPERLINK("https://isrc.soundexchange.com/#/search?searchType=name&amp;query="&amp;ENCODEURL(A45&amp;" "&amp;B45),"🔍 Name Search")</f>
        <v/>
      </c>
      <c r="G45" s="4">
        <f>HYPERLINK("https://musicbrainz.org/search?query="&amp;ENCODEURL(A45&amp;" "&amp;B45)&amp;"&amp;type=recording","🎵 MusicBrainz")</f>
        <v/>
      </c>
      <c r="H45" s="4">
        <f>HYPERLINK("https://repertoire.bmi.com/search?title="&amp;ENCODEURL(B45)&amp;"&amp;searchIn=songview","📋 Songview")</f>
        <v/>
      </c>
      <c r="I45" s="4">
        <f>HYPERLINK("https://www.youtube.com/results?search_query="&amp;ENCODEURL(A45&amp;" "&amp;B45),"▶ YouTube")</f>
        <v/>
      </c>
      <c r="J45" s="4" t="inlineStr"/>
      <c r="K45" s="4" t="inlineStr">
        <is>
          <t>UNKNOWN</t>
        </is>
      </c>
      <c r="L45" t="inlineStr"/>
      <c r="M45" t="inlineStr"/>
    </row>
    <row r="46" ht="20" customHeight="1">
      <c r="A46" s="2" t="inlineStr">
        <is>
          <t>Erica Campbell</t>
        </is>
      </c>
      <c r="B46" s="2" t="inlineStr">
        <is>
          <t>Help (Remix)</t>
        </is>
      </c>
      <c r="C46" s="2" t="inlineStr"/>
      <c r="D46" s="2" t="n">
        <v>0</v>
      </c>
      <c r="E46" s="2" t="inlineStr">
        <is>
          <t>—</t>
        </is>
      </c>
      <c r="F46" s="2">
        <f>HYPERLINK("https://isrc.soundexchange.com/#/search?searchType=name&amp;query="&amp;ENCODEURL(A46&amp;" "&amp;B46),"🔍 Name Search")</f>
        <v/>
      </c>
      <c r="G46" s="2">
        <f>HYPERLINK("https://musicbrainz.org/search?query="&amp;ENCODEURL(A46&amp;" "&amp;B46)&amp;"&amp;type=recording","🎵 MusicBrainz")</f>
        <v/>
      </c>
      <c r="H46" s="2">
        <f>HYPERLINK("https://repertoire.bmi.com/search?title="&amp;ENCODEURL(B46)&amp;"&amp;searchIn=songview","📋 Songview")</f>
        <v/>
      </c>
      <c r="I46" s="2">
        <f>HYPERLINK("https://www.youtube.com/results?search_query="&amp;ENCODEURL(A46&amp;" "&amp;B46),"▶ YouTube")</f>
        <v/>
      </c>
      <c r="J46" s="2" t="inlineStr"/>
      <c r="K46" s="2" t="inlineStr">
        <is>
          <t>UNKNOWN</t>
        </is>
      </c>
      <c r="L46" t="inlineStr"/>
      <c r="M46" t="inlineStr"/>
    </row>
    <row r="47" ht="20" customHeight="1">
      <c r="A47" s="4" t="inlineStr">
        <is>
          <t>Mary Mary</t>
        </is>
      </c>
      <c r="B47" s="4" t="inlineStr">
        <is>
          <t>Go Get It (Remix)</t>
        </is>
      </c>
      <c r="C47" s="4" t="inlineStr"/>
      <c r="D47" s="4" t="n">
        <v>0</v>
      </c>
      <c r="E47" s="4" t="inlineStr">
        <is>
          <t>—</t>
        </is>
      </c>
      <c r="F47" s="4">
        <f>HYPERLINK("https://isrc.soundexchange.com/#/search?searchType=name&amp;query="&amp;ENCODEURL(A47&amp;" "&amp;B47),"🔍 Name Search")</f>
        <v/>
      </c>
      <c r="G47" s="4">
        <f>HYPERLINK("https://musicbrainz.org/search?query="&amp;ENCODEURL(A47&amp;" "&amp;B47)&amp;"&amp;type=recording","🎵 MusicBrainz")</f>
        <v/>
      </c>
      <c r="H47" s="4">
        <f>HYPERLINK("https://repertoire.bmi.com/search?title="&amp;ENCODEURL(B47)&amp;"&amp;searchIn=songview","📋 Songview")</f>
        <v/>
      </c>
      <c r="I47" s="4">
        <f>HYPERLINK("https://www.youtube.com/results?search_query="&amp;ENCODEURL(A47&amp;" "&amp;B47),"▶ YouTube")</f>
        <v/>
      </c>
      <c r="J47" s="4" t="inlineStr"/>
      <c r="K47" s="4" t="inlineStr">
        <is>
          <t>UNKNOWN</t>
        </is>
      </c>
      <c r="L47" t="inlineStr"/>
      <c r="M47" t="inlineStr"/>
    </row>
    <row r="48" ht="20" customHeight="1">
      <c r="A48" s="2" t="inlineStr">
        <is>
          <t>Mary Mary</t>
        </is>
      </c>
      <c r="B48" s="2" t="inlineStr">
        <is>
          <t>Shackles (Remix) (Praise You)</t>
        </is>
      </c>
      <c r="C48" s="2" t="inlineStr">
        <is>
          <t>USSM10015898</t>
        </is>
      </c>
      <c r="D48" s="2" t="n">
        <v>0</v>
      </c>
      <c r="E48" s="2">
        <f>HYPERLINK("https://isrc.soundexchange.com/#/search?searchType=code&amp;query=USSM10015898","🔍 ISRC Search")</f>
        <v/>
      </c>
      <c r="F48" s="2">
        <f>HYPERLINK("https://isrc.soundexchange.com/#/search?searchType=name&amp;query="&amp;ENCODEURL(A48&amp;" "&amp;B48),"🔍 Name Search")</f>
        <v/>
      </c>
      <c r="G48" s="2">
        <f>HYPERLINK("https://musicbrainz.org/isrc/USSM10015898","🎵 MusicBrainz")</f>
        <v/>
      </c>
      <c r="H48" s="2">
        <f>HYPERLINK("https://repertoire.bmi.com/search?title="&amp;ENCODEURL(B48)&amp;"&amp;searchIn=songview","📋 Songview")</f>
        <v/>
      </c>
      <c r="I48" s="2">
        <f>HYPERLINK("https://www.youtube.com/results?search_query="&amp;ENCODEURL(A48&amp;" "&amp;B48),"▶ YouTube")</f>
        <v/>
      </c>
      <c r="J48" s="2" t="inlineStr">
        <is>
          <t>2000-09-26</t>
        </is>
      </c>
      <c r="K48" s="6" t="inlineStr">
        <is>
          <t>CHECK — streaming? (2000)</t>
        </is>
      </c>
      <c r="L48" t="inlineStr"/>
      <c r="M48" t="inlineStr"/>
    </row>
    <row r="49" ht="20" customHeight="1">
      <c r="A49" s="4" t="inlineStr">
        <is>
          <t>Tamela Mann</t>
        </is>
      </c>
      <c r="B49" s="4" t="inlineStr">
        <is>
          <t>Take Me to the King (Remix)</t>
        </is>
      </c>
      <c r="C49" s="4" t="inlineStr"/>
      <c r="D49" s="4" t="n">
        <v>0</v>
      </c>
      <c r="E49" s="4" t="inlineStr">
        <is>
          <t>—</t>
        </is>
      </c>
      <c r="F49" s="4">
        <f>HYPERLINK("https://isrc.soundexchange.com/#/search?searchType=name&amp;query="&amp;ENCODEURL(A49&amp;" "&amp;B49),"🔍 Name Search")</f>
        <v/>
      </c>
      <c r="G49" s="4">
        <f>HYPERLINK("https://musicbrainz.org/search?query="&amp;ENCODEURL(A49&amp;" "&amp;B49)&amp;"&amp;type=recording","🎵 MusicBrainz")</f>
        <v/>
      </c>
      <c r="H49" s="4">
        <f>HYPERLINK("https://repertoire.bmi.com/search?title="&amp;ENCODEURL(B49)&amp;"&amp;searchIn=songview","📋 Songview")</f>
        <v/>
      </c>
      <c r="I49" s="4">
        <f>HYPERLINK("https://www.youtube.com/results?search_query="&amp;ENCODEURL(A49&amp;" "&amp;B49),"▶ YouTube")</f>
        <v/>
      </c>
      <c r="J49" s="4" t="inlineStr"/>
      <c r="K49" s="4" t="inlineStr">
        <is>
          <t>UNKNOWN</t>
        </is>
      </c>
      <c r="L49" t="inlineStr"/>
      <c r="M49" t="inlineStr"/>
    </row>
    <row r="50" ht="20" customHeight="1">
      <c r="A50" s="2" t="inlineStr">
        <is>
          <t>Tamela Mann</t>
        </is>
      </c>
      <c r="B50" s="2" t="inlineStr">
        <is>
          <t>Change Me (Remix) ft. Kirk Franklin</t>
        </is>
      </c>
      <c r="C50" s="2" t="inlineStr"/>
      <c r="D50" s="2" t="n">
        <v>0</v>
      </c>
      <c r="E50" s="2" t="inlineStr">
        <is>
          <t>—</t>
        </is>
      </c>
      <c r="F50" s="2">
        <f>HYPERLINK("https://isrc.soundexchange.com/#/search?searchType=name&amp;query="&amp;ENCODEURL(A50&amp;" "&amp;B50),"🔍 Name Search")</f>
        <v/>
      </c>
      <c r="G50" s="2">
        <f>HYPERLINK("https://musicbrainz.org/search?query="&amp;ENCODEURL(A50&amp;" "&amp;B50)&amp;"&amp;type=recording","🎵 MusicBrainz")</f>
        <v/>
      </c>
      <c r="H50" s="2">
        <f>HYPERLINK("https://repertoire.bmi.com/search?title="&amp;ENCODEURL(B50)&amp;"&amp;searchIn=songview","📋 Songview")</f>
        <v/>
      </c>
      <c r="I50" s="2">
        <f>HYPERLINK("https://www.youtube.com/results?search_query="&amp;ENCODEURL(A50&amp;" "&amp;B50),"▶ YouTube")</f>
        <v/>
      </c>
      <c r="J50" s="2" t="inlineStr"/>
      <c r="K50" s="2" t="inlineStr">
        <is>
          <t>UNKNOWN</t>
        </is>
      </c>
      <c r="L50" t="inlineStr"/>
      <c r="M50" t="inlineStr"/>
    </row>
    <row r="51" ht="20" customHeight="1">
      <c r="A51" s="4" t="inlineStr">
        <is>
          <t>Tamela Mann</t>
        </is>
      </c>
      <c r="B51" s="4" t="inlineStr">
        <is>
          <t>This Place (Remix)</t>
        </is>
      </c>
      <c r="C51" s="4" t="inlineStr"/>
      <c r="D51" s="4" t="n">
        <v>0</v>
      </c>
      <c r="E51" s="4" t="inlineStr">
        <is>
          <t>—</t>
        </is>
      </c>
      <c r="F51" s="4">
        <f>HYPERLINK("https://isrc.soundexchange.com/#/search?searchType=name&amp;query="&amp;ENCODEURL(A51&amp;" "&amp;B51),"🔍 Name Search")</f>
        <v/>
      </c>
      <c r="G51" s="4">
        <f>HYPERLINK("https://musicbrainz.org/search?query="&amp;ENCODEURL(A51&amp;" "&amp;B51)&amp;"&amp;type=recording","🎵 MusicBrainz")</f>
        <v/>
      </c>
      <c r="H51" s="4">
        <f>HYPERLINK("https://repertoire.bmi.com/search?title="&amp;ENCODEURL(B51)&amp;"&amp;searchIn=songview","📋 Songview")</f>
        <v/>
      </c>
      <c r="I51" s="4">
        <f>HYPERLINK("https://www.youtube.com/results?search_query="&amp;ENCODEURL(A51&amp;" "&amp;B51),"▶ YouTube")</f>
        <v/>
      </c>
      <c r="J51" s="4" t="inlineStr"/>
      <c r="K51" s="4" t="inlineStr">
        <is>
          <t>UNKNOWN</t>
        </is>
      </c>
      <c r="L51" t="inlineStr"/>
      <c r="M51" t="inlineStr"/>
    </row>
    <row r="52" ht="20" customHeight="1">
      <c r="A52" s="2" t="inlineStr">
        <is>
          <t>Le'Andria Johnson</t>
        </is>
      </c>
      <c r="B52" s="2" t="inlineStr">
        <is>
          <t>Jesus (Remix)</t>
        </is>
      </c>
      <c r="C52" s="2" t="inlineStr"/>
      <c r="D52" s="2" t="n">
        <v>0</v>
      </c>
      <c r="E52" s="2" t="inlineStr">
        <is>
          <t>—</t>
        </is>
      </c>
      <c r="F52" s="2">
        <f>HYPERLINK("https://isrc.soundexchange.com/#/search?searchType=name&amp;query="&amp;ENCODEURL(A52&amp;" "&amp;B52),"🔍 Name Search")</f>
        <v/>
      </c>
      <c r="G52" s="2">
        <f>HYPERLINK("https://musicbrainz.org/search?query="&amp;ENCODEURL(A52&amp;" "&amp;B52)&amp;"&amp;type=recording","🎵 MusicBrainz")</f>
        <v/>
      </c>
      <c r="H52" s="2">
        <f>HYPERLINK("https://repertoire.bmi.com/search?title="&amp;ENCODEURL(B52)&amp;"&amp;searchIn=songview","📋 Songview")</f>
        <v/>
      </c>
      <c r="I52" s="2">
        <f>HYPERLINK("https://www.youtube.com/results?search_query="&amp;ENCODEURL(A52&amp;" "&amp;B52),"▶ YouTube")</f>
        <v/>
      </c>
      <c r="J52" s="2" t="inlineStr"/>
      <c r="K52" s="2" t="inlineStr">
        <is>
          <t>UNKNOWN</t>
        </is>
      </c>
      <c r="L52" t="inlineStr"/>
      <c r="M52" t="inlineStr"/>
    </row>
    <row r="53" ht="20" customHeight="1">
      <c r="A53" s="4" t="inlineStr">
        <is>
          <t>Le'Andria Johnson</t>
        </is>
      </c>
      <c r="B53" s="4" t="inlineStr">
        <is>
          <t>I Need Your Glory (Remix)</t>
        </is>
      </c>
      <c r="C53" s="4" t="inlineStr"/>
      <c r="D53" s="4" t="n">
        <v>0</v>
      </c>
      <c r="E53" s="4" t="inlineStr">
        <is>
          <t>—</t>
        </is>
      </c>
      <c r="F53" s="4">
        <f>HYPERLINK("https://isrc.soundexchange.com/#/search?searchType=name&amp;query="&amp;ENCODEURL(A53&amp;" "&amp;B53),"🔍 Name Search")</f>
        <v/>
      </c>
      <c r="G53" s="4">
        <f>HYPERLINK("https://musicbrainz.org/search?query="&amp;ENCODEURL(A53&amp;" "&amp;B53)&amp;"&amp;type=recording","🎵 MusicBrainz")</f>
        <v/>
      </c>
      <c r="H53" s="4">
        <f>HYPERLINK("https://repertoire.bmi.com/search?title="&amp;ENCODEURL(B53)&amp;"&amp;searchIn=songview","📋 Songview")</f>
        <v/>
      </c>
      <c r="I53" s="4">
        <f>HYPERLINK("https://www.youtube.com/results?search_query="&amp;ENCODEURL(A53&amp;" "&amp;B53),"▶ YouTube")</f>
        <v/>
      </c>
      <c r="J53" s="4" t="inlineStr"/>
      <c r="K53" s="4" t="inlineStr">
        <is>
          <t>UNKNOWN</t>
        </is>
      </c>
      <c r="L53" t="inlineStr"/>
      <c r="M53" t="inlineStr"/>
    </row>
    <row r="54" ht="20" customHeight="1">
      <c r="A54" s="2" t="inlineStr">
        <is>
          <t>Mali Music</t>
        </is>
      </c>
      <c r="B54" s="2" t="inlineStr">
        <is>
          <t>Beautiful (Remix)</t>
        </is>
      </c>
      <c r="C54" s="2" t="inlineStr"/>
      <c r="D54" s="2" t="n">
        <v>0</v>
      </c>
      <c r="E54" s="2" t="inlineStr">
        <is>
          <t>—</t>
        </is>
      </c>
      <c r="F54" s="2">
        <f>HYPERLINK("https://isrc.soundexchange.com/#/search?searchType=name&amp;query="&amp;ENCODEURL(A54&amp;" "&amp;B54),"🔍 Name Search")</f>
        <v/>
      </c>
      <c r="G54" s="2">
        <f>HYPERLINK("https://musicbrainz.org/search?query="&amp;ENCODEURL(A54&amp;" "&amp;B54)&amp;"&amp;type=recording","🎵 MusicBrainz")</f>
        <v/>
      </c>
      <c r="H54" s="2">
        <f>HYPERLINK("https://repertoire.bmi.com/search?title="&amp;ENCODEURL(B54)&amp;"&amp;searchIn=songview","📋 Songview")</f>
        <v/>
      </c>
      <c r="I54" s="2">
        <f>HYPERLINK("https://www.youtube.com/results?search_query="&amp;ENCODEURL(A54&amp;" "&amp;B54),"▶ YouTube")</f>
        <v/>
      </c>
      <c r="J54" s="2" t="inlineStr"/>
      <c r="K54" s="2" t="inlineStr">
        <is>
          <t>UNKNOWN</t>
        </is>
      </c>
      <c r="L54" t="inlineStr"/>
      <c r="M54" t="inlineStr"/>
    </row>
    <row r="55" ht="20" customHeight="1">
      <c r="A55" s="4" t="inlineStr">
        <is>
          <t>Mali Music</t>
        </is>
      </c>
      <c r="B55" s="4" t="inlineStr">
        <is>
          <t>Make Room (Remix) ft. Jonathan McReynolds</t>
        </is>
      </c>
      <c r="C55" s="4" t="inlineStr"/>
      <c r="D55" s="4" t="n">
        <v>0</v>
      </c>
      <c r="E55" s="4" t="inlineStr">
        <is>
          <t>—</t>
        </is>
      </c>
      <c r="F55" s="4">
        <f>HYPERLINK("https://isrc.soundexchange.com/#/search?searchType=name&amp;query="&amp;ENCODEURL(A55&amp;" "&amp;B55),"🔍 Name Search")</f>
        <v/>
      </c>
      <c r="G55" s="4">
        <f>HYPERLINK("https://musicbrainz.org/search?query="&amp;ENCODEURL(A55&amp;" "&amp;B55)&amp;"&amp;type=recording","🎵 MusicBrainz")</f>
        <v/>
      </c>
      <c r="H55" s="4">
        <f>HYPERLINK("https://repertoire.bmi.com/search?title="&amp;ENCODEURL(B55)&amp;"&amp;searchIn=songview","📋 Songview")</f>
        <v/>
      </c>
      <c r="I55" s="4">
        <f>HYPERLINK("https://www.youtube.com/results?search_query="&amp;ENCODEURL(A55&amp;" "&amp;B55),"▶ YouTube")</f>
        <v/>
      </c>
      <c r="J55" s="4" t="inlineStr"/>
      <c r="K55" s="4" t="inlineStr">
        <is>
          <t>UNKNOWN</t>
        </is>
      </c>
      <c r="L55" t="inlineStr"/>
      <c r="M55" t="inlineStr"/>
    </row>
    <row r="56" ht="20" customHeight="1">
      <c r="A56" s="2" t="inlineStr">
        <is>
          <t>Mali Music</t>
        </is>
      </c>
      <c r="B56" s="2" t="inlineStr">
        <is>
          <t>Ready Aim (Remix)</t>
        </is>
      </c>
      <c r="C56" s="2" t="inlineStr"/>
      <c r="D56" s="2" t="n">
        <v>0</v>
      </c>
      <c r="E56" s="2" t="inlineStr">
        <is>
          <t>—</t>
        </is>
      </c>
      <c r="F56" s="2">
        <f>HYPERLINK("https://isrc.soundexchange.com/#/search?searchType=name&amp;query="&amp;ENCODEURL(A56&amp;" "&amp;B56),"🔍 Name Search")</f>
        <v/>
      </c>
      <c r="G56" s="2">
        <f>HYPERLINK("https://musicbrainz.org/search?query="&amp;ENCODEURL(A56&amp;" "&amp;B56)&amp;"&amp;type=recording","🎵 MusicBrainz")</f>
        <v/>
      </c>
      <c r="H56" s="2">
        <f>HYPERLINK("https://repertoire.bmi.com/search?title="&amp;ENCODEURL(B56)&amp;"&amp;searchIn=songview","📋 Songview")</f>
        <v/>
      </c>
      <c r="I56" s="2">
        <f>HYPERLINK("https://www.youtube.com/results?search_query="&amp;ENCODEURL(A56&amp;" "&amp;B56),"▶ YouTube")</f>
        <v/>
      </c>
      <c r="J56" s="2" t="inlineStr"/>
      <c r="K56" s="2" t="inlineStr">
        <is>
          <t>UNKNOWN</t>
        </is>
      </c>
      <c r="L56" t="inlineStr"/>
      <c r="M56" t="inlineStr"/>
    </row>
    <row r="57" ht="20" customHeight="1">
      <c r="A57" s="4" t="inlineStr">
        <is>
          <t>Travis Greene</t>
        </is>
      </c>
      <c r="B57" s="4" t="inlineStr">
        <is>
          <t>Made a Way (Remix)</t>
        </is>
      </c>
      <c r="C57" s="4" t="inlineStr"/>
      <c r="D57" s="4" t="n">
        <v>0</v>
      </c>
      <c r="E57" s="4" t="inlineStr">
        <is>
          <t>—</t>
        </is>
      </c>
      <c r="F57" s="4">
        <f>HYPERLINK("https://isrc.soundexchange.com/#/search?searchType=name&amp;query="&amp;ENCODEURL(A57&amp;" "&amp;B57),"🔍 Name Search")</f>
        <v/>
      </c>
      <c r="G57" s="4">
        <f>HYPERLINK("https://musicbrainz.org/search?query="&amp;ENCODEURL(A57&amp;" "&amp;B57)&amp;"&amp;type=recording","🎵 MusicBrainz")</f>
        <v/>
      </c>
      <c r="H57" s="4">
        <f>HYPERLINK("https://repertoire.bmi.com/search?title="&amp;ENCODEURL(B57)&amp;"&amp;searchIn=songview","📋 Songview")</f>
        <v/>
      </c>
      <c r="I57" s="4">
        <f>HYPERLINK("https://www.youtube.com/results?search_query="&amp;ENCODEURL(A57&amp;" "&amp;B57),"▶ YouTube")</f>
        <v/>
      </c>
      <c r="J57" s="4" t="inlineStr"/>
      <c r="K57" s="4" t="inlineStr">
        <is>
          <t>UNKNOWN</t>
        </is>
      </c>
      <c r="L57" t="inlineStr"/>
      <c r="M57" t="inlineStr"/>
    </row>
    <row r="58" ht="20" customHeight="1">
      <c r="A58" s="2" t="inlineStr">
        <is>
          <t>Travis Greene</t>
        </is>
      </c>
      <c r="B58" s="2" t="inlineStr">
        <is>
          <t>Intentional (Remix)</t>
        </is>
      </c>
      <c r="C58" s="2" t="inlineStr"/>
      <c r="D58" s="2" t="n">
        <v>0</v>
      </c>
      <c r="E58" s="2" t="inlineStr">
        <is>
          <t>—</t>
        </is>
      </c>
      <c r="F58" s="2">
        <f>HYPERLINK("https://isrc.soundexchange.com/#/search?searchType=name&amp;query="&amp;ENCODEURL(A58&amp;" "&amp;B58),"🔍 Name Search")</f>
        <v/>
      </c>
      <c r="G58" s="2">
        <f>HYPERLINK("https://musicbrainz.org/search?query="&amp;ENCODEURL(A58&amp;" "&amp;B58)&amp;"&amp;type=recording","🎵 MusicBrainz")</f>
        <v/>
      </c>
      <c r="H58" s="2">
        <f>HYPERLINK("https://repertoire.bmi.com/search?title="&amp;ENCODEURL(B58)&amp;"&amp;searchIn=songview","📋 Songview")</f>
        <v/>
      </c>
      <c r="I58" s="2">
        <f>HYPERLINK("https://www.youtube.com/results?search_query="&amp;ENCODEURL(A58&amp;" "&amp;B58),"▶ YouTube")</f>
        <v/>
      </c>
      <c r="J58" s="2" t="inlineStr"/>
      <c r="K58" s="2" t="inlineStr">
        <is>
          <t>UNKNOWN</t>
        </is>
      </c>
      <c r="L58" t="inlineStr"/>
      <c r="M58" t="inlineStr"/>
    </row>
    <row r="59" ht="20" customHeight="1">
      <c r="A59" s="4" t="inlineStr">
        <is>
          <t>Travis Greene</t>
        </is>
      </c>
      <c r="B59" s="4" t="inlineStr">
        <is>
          <t>You Waited (Remix)</t>
        </is>
      </c>
      <c r="C59" s="4" t="inlineStr"/>
      <c r="D59" s="4" t="n">
        <v>0</v>
      </c>
      <c r="E59" s="4" t="inlineStr">
        <is>
          <t>—</t>
        </is>
      </c>
      <c r="F59" s="4">
        <f>HYPERLINK("https://isrc.soundexchange.com/#/search?searchType=name&amp;query="&amp;ENCODEURL(A59&amp;" "&amp;B59),"🔍 Name Search")</f>
        <v/>
      </c>
      <c r="G59" s="4">
        <f>HYPERLINK("https://musicbrainz.org/search?query="&amp;ENCODEURL(A59&amp;" "&amp;B59)&amp;"&amp;type=recording","🎵 MusicBrainz")</f>
        <v/>
      </c>
      <c r="H59" s="4">
        <f>HYPERLINK("https://repertoire.bmi.com/search?title="&amp;ENCODEURL(B59)&amp;"&amp;searchIn=songview","📋 Songview")</f>
        <v/>
      </c>
      <c r="I59" s="4">
        <f>HYPERLINK("https://www.youtube.com/results?search_query="&amp;ENCODEURL(A59&amp;" "&amp;B59),"▶ YouTube")</f>
        <v/>
      </c>
      <c r="J59" s="4" t="inlineStr"/>
      <c r="K59" s="4" t="inlineStr">
        <is>
          <t>UNKNOWN</t>
        </is>
      </c>
      <c r="L59" t="inlineStr"/>
      <c r="M59" t="inlineStr"/>
    </row>
    <row r="60" ht="20" customHeight="1">
      <c r="A60" s="2" t="inlineStr">
        <is>
          <t>Travis Greene</t>
        </is>
      </c>
      <c r="B60" s="2" t="inlineStr">
        <is>
          <t>While I'm Waiting (Remix)</t>
        </is>
      </c>
      <c r="C60" s="2" t="inlineStr"/>
      <c r="D60" s="2" t="n">
        <v>0</v>
      </c>
      <c r="E60" s="2" t="inlineStr">
        <is>
          <t>—</t>
        </is>
      </c>
      <c r="F60" s="2">
        <f>HYPERLINK("https://isrc.soundexchange.com/#/search?searchType=name&amp;query="&amp;ENCODEURL(A60&amp;" "&amp;B60),"🔍 Name Search")</f>
        <v/>
      </c>
      <c r="G60" s="2">
        <f>HYPERLINK("https://musicbrainz.org/search?query="&amp;ENCODEURL(A60&amp;" "&amp;B60)&amp;"&amp;type=recording","🎵 MusicBrainz")</f>
        <v/>
      </c>
      <c r="H60" s="2">
        <f>HYPERLINK("https://repertoire.bmi.com/search?title="&amp;ENCODEURL(B60)&amp;"&amp;searchIn=songview","📋 Songview")</f>
        <v/>
      </c>
      <c r="I60" s="2">
        <f>HYPERLINK("https://www.youtube.com/results?search_query="&amp;ENCODEURL(A60&amp;" "&amp;B60),"▶ YouTube")</f>
        <v/>
      </c>
      <c r="J60" s="2" t="inlineStr"/>
      <c r="K60" s="2" t="inlineStr">
        <is>
          <t>UNKNOWN</t>
        </is>
      </c>
      <c r="L60" t="inlineStr"/>
      <c r="M60" t="inlineStr"/>
    </row>
    <row r="61" ht="20" customHeight="1">
      <c r="A61" s="4" t="inlineStr">
        <is>
          <t>Brandon Lake</t>
        </is>
      </c>
      <c r="B61" s="4" t="inlineStr">
        <is>
          <t>Gratitude (Remix)</t>
        </is>
      </c>
      <c r="C61" s="4" t="inlineStr"/>
      <c r="D61" s="4" t="n">
        <v>0</v>
      </c>
      <c r="E61" s="4" t="inlineStr">
        <is>
          <t>—</t>
        </is>
      </c>
      <c r="F61" s="4">
        <f>HYPERLINK("https://isrc.soundexchange.com/#/search?searchType=name&amp;query="&amp;ENCODEURL(A61&amp;" "&amp;B61),"🔍 Name Search")</f>
        <v/>
      </c>
      <c r="G61" s="4">
        <f>HYPERLINK("https://musicbrainz.org/search?query="&amp;ENCODEURL(A61&amp;" "&amp;B61)&amp;"&amp;type=recording","🎵 MusicBrainz")</f>
        <v/>
      </c>
      <c r="H61" s="4">
        <f>HYPERLINK("https://repertoire.bmi.com/search?title="&amp;ENCODEURL(B61)&amp;"&amp;searchIn=songview","📋 Songview")</f>
        <v/>
      </c>
      <c r="I61" s="4">
        <f>HYPERLINK("https://www.youtube.com/results?search_query="&amp;ENCODEURL(A61&amp;" "&amp;B61),"▶ YouTube")</f>
        <v/>
      </c>
      <c r="J61" s="4" t="inlineStr"/>
      <c r="K61" s="4" t="inlineStr">
        <is>
          <t>UNKNOWN</t>
        </is>
      </c>
      <c r="L61" t="inlineStr"/>
      <c r="M61" t="inlineStr"/>
    </row>
    <row r="62" ht="20" customHeight="1">
      <c r="A62" s="2" t="inlineStr">
        <is>
          <t>Brandon Lake</t>
        </is>
      </c>
      <c r="B62" s="2" t="inlineStr">
        <is>
          <t>Hard Fought Hallelujah (Remix)</t>
        </is>
      </c>
      <c r="C62" s="2" t="inlineStr"/>
      <c r="D62" s="2" t="n">
        <v>0</v>
      </c>
      <c r="E62" s="2" t="inlineStr">
        <is>
          <t>—</t>
        </is>
      </c>
      <c r="F62" s="2">
        <f>HYPERLINK("https://isrc.soundexchange.com/#/search?searchType=name&amp;query="&amp;ENCODEURL(A62&amp;" "&amp;B62),"🔍 Name Search")</f>
        <v/>
      </c>
      <c r="G62" s="2">
        <f>HYPERLINK("https://musicbrainz.org/search?query="&amp;ENCODEURL(A62&amp;" "&amp;B62)&amp;"&amp;type=recording","🎵 MusicBrainz")</f>
        <v/>
      </c>
      <c r="H62" s="2">
        <f>HYPERLINK("https://repertoire.bmi.com/search?title="&amp;ENCODEURL(B62)&amp;"&amp;searchIn=songview","📋 Songview")</f>
        <v/>
      </c>
      <c r="I62" s="2">
        <f>HYPERLINK("https://www.youtube.com/results?search_query="&amp;ENCODEURL(A62&amp;" "&amp;B62),"▶ YouTube")</f>
        <v/>
      </c>
      <c r="J62" s="2" t="inlineStr"/>
      <c r="K62" s="2" t="inlineStr">
        <is>
          <t>UNKNOWN</t>
        </is>
      </c>
      <c r="L62" t="inlineStr"/>
      <c r="M62" t="inlineStr"/>
    </row>
    <row r="63" ht="20" customHeight="1">
      <c r="A63" s="4" t="inlineStr">
        <is>
          <t>Brandon Lake</t>
        </is>
      </c>
      <c r="B63" s="4" t="inlineStr">
        <is>
          <t>Talking to Jesus (Remix)</t>
        </is>
      </c>
      <c r="C63" s="4" t="inlineStr"/>
      <c r="D63" s="4" t="n">
        <v>0</v>
      </c>
      <c r="E63" s="4" t="inlineStr">
        <is>
          <t>—</t>
        </is>
      </c>
      <c r="F63" s="4">
        <f>HYPERLINK("https://isrc.soundexchange.com/#/search?searchType=name&amp;query="&amp;ENCODEURL(A63&amp;" "&amp;B63),"🔍 Name Search")</f>
        <v/>
      </c>
      <c r="G63" s="4">
        <f>HYPERLINK("https://musicbrainz.org/search?query="&amp;ENCODEURL(A63&amp;" "&amp;B63)&amp;"&amp;type=recording","🎵 MusicBrainz")</f>
        <v/>
      </c>
      <c r="H63" s="4">
        <f>HYPERLINK("https://repertoire.bmi.com/search?title="&amp;ENCODEURL(B63)&amp;"&amp;searchIn=songview","📋 Songview")</f>
        <v/>
      </c>
      <c r="I63" s="4">
        <f>HYPERLINK("https://www.youtube.com/results?search_query="&amp;ENCODEURL(A63&amp;" "&amp;B63),"▶ YouTube")</f>
        <v/>
      </c>
      <c r="J63" s="4" t="inlineStr"/>
      <c r="K63" s="4" t="inlineStr">
        <is>
          <t>UNKNOWN</t>
        </is>
      </c>
      <c r="L63" t="inlineStr"/>
      <c r="M63" t="inlineStr"/>
    </row>
    <row r="64" ht="20" customHeight="1">
      <c r="A64" s="2" t="inlineStr">
        <is>
          <t>Chandler Moore</t>
        </is>
      </c>
      <c r="B64" s="2" t="inlineStr">
        <is>
          <t>Available (Remix)</t>
        </is>
      </c>
      <c r="C64" s="2" t="inlineStr"/>
      <c r="D64" s="2" t="n">
        <v>0</v>
      </c>
      <c r="E64" s="2" t="inlineStr">
        <is>
          <t>—</t>
        </is>
      </c>
      <c r="F64" s="2">
        <f>HYPERLINK("https://isrc.soundexchange.com/#/search?searchType=name&amp;query="&amp;ENCODEURL(A64&amp;" "&amp;B64),"🔍 Name Search")</f>
        <v/>
      </c>
      <c r="G64" s="2">
        <f>HYPERLINK("https://musicbrainz.org/search?query="&amp;ENCODEURL(A64&amp;" "&amp;B64)&amp;"&amp;type=recording","🎵 MusicBrainz")</f>
        <v/>
      </c>
      <c r="H64" s="2">
        <f>HYPERLINK("https://repertoire.bmi.com/search?title="&amp;ENCODEURL(B64)&amp;"&amp;searchIn=songview","📋 Songview")</f>
        <v/>
      </c>
      <c r="I64" s="2">
        <f>HYPERLINK("https://www.youtube.com/results?search_query="&amp;ENCODEURL(A64&amp;" "&amp;B64),"▶ YouTube")</f>
        <v/>
      </c>
      <c r="J64" s="2" t="inlineStr"/>
      <c r="K64" s="2" t="inlineStr">
        <is>
          <t>UNKNOWN</t>
        </is>
      </c>
      <c r="L64" t="inlineStr"/>
      <c r="M64" t="inlineStr"/>
    </row>
    <row r="65" ht="20" customHeight="1">
      <c r="A65" s="4" t="inlineStr">
        <is>
          <t>Chandler Moore</t>
        </is>
      </c>
      <c r="B65" s="4" t="inlineStr">
        <is>
          <t>Jireh (Remix) ft. Maverick City</t>
        </is>
      </c>
      <c r="C65" s="4" t="inlineStr"/>
      <c r="D65" s="4" t="n">
        <v>0</v>
      </c>
      <c r="E65" s="4" t="inlineStr">
        <is>
          <t>—</t>
        </is>
      </c>
      <c r="F65" s="4">
        <f>HYPERLINK("https://isrc.soundexchange.com/#/search?searchType=name&amp;query="&amp;ENCODEURL(A65&amp;" "&amp;B65),"🔍 Name Search")</f>
        <v/>
      </c>
      <c r="G65" s="4">
        <f>HYPERLINK("https://musicbrainz.org/search?query="&amp;ENCODEURL(A65&amp;" "&amp;B65)&amp;"&amp;type=recording","🎵 MusicBrainz")</f>
        <v/>
      </c>
      <c r="H65" s="4">
        <f>HYPERLINK("https://repertoire.bmi.com/search?title="&amp;ENCODEURL(B65)&amp;"&amp;searchIn=songview","📋 Songview")</f>
        <v/>
      </c>
      <c r="I65" s="4">
        <f>HYPERLINK("https://www.youtube.com/results?search_query="&amp;ENCODEURL(A65&amp;" "&amp;B65),"▶ YouTube")</f>
        <v/>
      </c>
      <c r="J65" s="4" t="inlineStr"/>
      <c r="K65" s="4" t="inlineStr">
        <is>
          <t>UNKNOWN</t>
        </is>
      </c>
      <c r="L65" t="inlineStr"/>
      <c r="M65" t="inlineStr"/>
    </row>
    <row r="66" ht="20" customHeight="1">
      <c r="A66" s="2" t="inlineStr">
        <is>
          <t>Naomi Raine</t>
        </is>
      </c>
      <c r="B66" s="2" t="inlineStr">
        <is>
          <t>Promises (Remix) ft. Maverick City</t>
        </is>
      </c>
      <c r="C66" s="2" t="inlineStr"/>
      <c r="D66" s="2" t="n">
        <v>0</v>
      </c>
      <c r="E66" s="2" t="inlineStr">
        <is>
          <t>—</t>
        </is>
      </c>
      <c r="F66" s="2">
        <f>HYPERLINK("https://isrc.soundexchange.com/#/search?searchType=name&amp;query="&amp;ENCODEURL(A66&amp;" "&amp;B66),"🔍 Name Search")</f>
        <v/>
      </c>
      <c r="G66" s="2">
        <f>HYPERLINK("https://musicbrainz.org/search?query="&amp;ENCODEURL(A66&amp;" "&amp;B66)&amp;"&amp;type=recording","🎵 MusicBrainz")</f>
        <v/>
      </c>
      <c r="H66" s="2">
        <f>HYPERLINK("https://repertoire.bmi.com/search?title="&amp;ENCODEURL(B66)&amp;"&amp;searchIn=songview","📋 Songview")</f>
        <v/>
      </c>
      <c r="I66" s="2">
        <f>HYPERLINK("https://www.youtube.com/results?search_query="&amp;ENCODEURL(A66&amp;" "&amp;B66),"▶ YouTube")</f>
        <v/>
      </c>
      <c r="J66" s="2" t="inlineStr"/>
      <c r="K66" s="2" t="inlineStr">
        <is>
          <t>UNKNOWN</t>
        </is>
      </c>
      <c r="L66" t="inlineStr"/>
      <c r="M66" t="inlineStr"/>
    </row>
    <row r="67" ht="20" customHeight="1">
      <c r="A67" s="4" t="inlineStr">
        <is>
          <t>Naomi Raine</t>
        </is>
      </c>
      <c r="B67" s="4" t="inlineStr">
        <is>
          <t>You're Gonna Be Okay (Remix)</t>
        </is>
      </c>
      <c r="C67" s="4" t="inlineStr"/>
      <c r="D67" s="4" t="n">
        <v>0</v>
      </c>
      <c r="E67" s="4" t="inlineStr">
        <is>
          <t>—</t>
        </is>
      </c>
      <c r="F67" s="4">
        <f>HYPERLINK("https://isrc.soundexchange.com/#/search?searchType=name&amp;query="&amp;ENCODEURL(A67&amp;" "&amp;B67),"🔍 Name Search")</f>
        <v/>
      </c>
      <c r="G67" s="4">
        <f>HYPERLINK("https://musicbrainz.org/search?query="&amp;ENCODEURL(A67&amp;" "&amp;B67)&amp;"&amp;type=recording","🎵 MusicBrainz")</f>
        <v/>
      </c>
      <c r="H67" s="4">
        <f>HYPERLINK("https://repertoire.bmi.com/search?title="&amp;ENCODEURL(B67)&amp;"&amp;searchIn=songview","📋 Songview")</f>
        <v/>
      </c>
      <c r="I67" s="4">
        <f>HYPERLINK("https://www.youtube.com/results?search_query="&amp;ENCODEURL(A67&amp;" "&amp;B67),"▶ YouTube")</f>
        <v/>
      </c>
      <c r="J67" s="4" t="inlineStr"/>
      <c r="K67" s="4" t="inlineStr">
        <is>
          <t>UNKNOWN</t>
        </is>
      </c>
      <c r="L67" t="inlineStr"/>
      <c r="M67" t="inlineStr"/>
    </row>
    <row r="68" ht="20" customHeight="1">
      <c r="A68" s="2" t="inlineStr">
        <is>
          <t>Cece Winans</t>
        </is>
      </c>
      <c r="B68" s="2" t="inlineStr">
        <is>
          <t>Goodness of God (Remix)</t>
        </is>
      </c>
      <c r="C68" s="2" t="inlineStr"/>
      <c r="D68" s="2" t="n">
        <v>0</v>
      </c>
      <c r="E68" s="2" t="inlineStr">
        <is>
          <t>—</t>
        </is>
      </c>
      <c r="F68" s="2">
        <f>HYPERLINK("https://isrc.soundexchange.com/#/search?searchType=name&amp;query="&amp;ENCODEURL(A68&amp;" "&amp;B68),"🔍 Name Search")</f>
        <v/>
      </c>
      <c r="G68" s="2">
        <f>HYPERLINK("https://musicbrainz.org/search?query="&amp;ENCODEURL(A68&amp;" "&amp;B68)&amp;"&amp;type=recording","🎵 MusicBrainz")</f>
        <v/>
      </c>
      <c r="H68" s="2">
        <f>HYPERLINK("https://repertoire.bmi.com/search?title="&amp;ENCODEURL(B68)&amp;"&amp;searchIn=songview","📋 Songview")</f>
        <v/>
      </c>
      <c r="I68" s="2">
        <f>HYPERLINK("https://www.youtube.com/results?search_query="&amp;ENCODEURL(A68&amp;" "&amp;B68),"▶ YouTube")</f>
        <v/>
      </c>
      <c r="J68" s="2" t="inlineStr"/>
      <c r="K68" s="2" t="inlineStr">
        <is>
          <t>UNKNOWN</t>
        </is>
      </c>
      <c r="L68" t="inlineStr"/>
      <c r="M68" t="inlineStr"/>
    </row>
    <row r="69" ht="20" customHeight="1">
      <c r="A69" s="4" t="inlineStr">
        <is>
          <t>Cece Winans</t>
        </is>
      </c>
      <c r="B69" s="4" t="inlineStr">
        <is>
          <t>Never Lost (Remix)</t>
        </is>
      </c>
      <c r="C69" s="4" t="inlineStr"/>
      <c r="D69" s="4" t="n">
        <v>0</v>
      </c>
      <c r="E69" s="4" t="inlineStr">
        <is>
          <t>—</t>
        </is>
      </c>
      <c r="F69" s="4">
        <f>HYPERLINK("https://isrc.soundexchange.com/#/search?searchType=name&amp;query="&amp;ENCODEURL(A69&amp;" "&amp;B69),"🔍 Name Search")</f>
        <v/>
      </c>
      <c r="G69" s="4">
        <f>HYPERLINK("https://musicbrainz.org/search?query="&amp;ENCODEURL(A69&amp;" "&amp;B69)&amp;"&amp;type=recording","🎵 MusicBrainz")</f>
        <v/>
      </c>
      <c r="H69" s="4">
        <f>HYPERLINK("https://repertoire.bmi.com/search?title="&amp;ENCODEURL(B69)&amp;"&amp;searchIn=songview","📋 Songview")</f>
        <v/>
      </c>
      <c r="I69" s="4">
        <f>HYPERLINK("https://www.youtube.com/results?search_query="&amp;ENCODEURL(A69&amp;" "&amp;B69),"▶ YouTube")</f>
        <v/>
      </c>
      <c r="J69" s="4" t="inlineStr"/>
      <c r="K69" s="4" t="inlineStr">
        <is>
          <t>UNKNOWN</t>
        </is>
      </c>
      <c r="L69" t="inlineStr"/>
      <c r="M69" t="inlineStr"/>
    </row>
    <row r="70" ht="20" customHeight="1">
      <c r="A70" s="2" t="inlineStr">
        <is>
          <t>Cece Winans</t>
        </is>
      </c>
      <c r="B70" s="2" t="inlineStr">
        <is>
          <t>Believe for It (Remix)</t>
        </is>
      </c>
      <c r="C70" s="2" t="inlineStr"/>
      <c r="D70" s="2" t="n">
        <v>0</v>
      </c>
      <c r="E70" s="2" t="inlineStr">
        <is>
          <t>—</t>
        </is>
      </c>
      <c r="F70" s="2">
        <f>HYPERLINK("https://isrc.soundexchange.com/#/search?searchType=name&amp;query="&amp;ENCODEURL(A70&amp;" "&amp;B70),"🔍 Name Search")</f>
        <v/>
      </c>
      <c r="G70" s="2">
        <f>HYPERLINK("https://musicbrainz.org/search?query="&amp;ENCODEURL(A70&amp;" "&amp;B70)&amp;"&amp;type=recording","🎵 MusicBrainz")</f>
        <v/>
      </c>
      <c r="H70" s="2">
        <f>HYPERLINK("https://repertoire.bmi.com/search?title="&amp;ENCODEURL(B70)&amp;"&amp;searchIn=songview","📋 Songview")</f>
        <v/>
      </c>
      <c r="I70" s="2">
        <f>HYPERLINK("https://www.youtube.com/results?search_query="&amp;ENCODEURL(A70&amp;" "&amp;B70),"▶ YouTube")</f>
        <v/>
      </c>
      <c r="J70" s="2" t="inlineStr"/>
      <c r="K70" s="2" t="inlineStr">
        <is>
          <t>UNKNOWN</t>
        </is>
      </c>
      <c r="L70" t="inlineStr"/>
      <c r="M70" t="inlineStr"/>
    </row>
    <row r="71" ht="20" customHeight="1">
      <c r="A71" s="4" t="inlineStr">
        <is>
          <t>Deitrick Haddon</t>
        </is>
      </c>
      <c r="B71" s="4" t="inlineStr">
        <is>
          <t>Well Done (Remix)</t>
        </is>
      </c>
      <c r="C71" s="4" t="inlineStr"/>
      <c r="D71" s="4" t="n">
        <v>0</v>
      </c>
      <c r="E71" s="4" t="inlineStr">
        <is>
          <t>—</t>
        </is>
      </c>
      <c r="F71" s="4">
        <f>HYPERLINK("https://isrc.soundexchange.com/#/search?searchType=name&amp;query="&amp;ENCODEURL(A71&amp;" "&amp;B71),"🔍 Name Search")</f>
        <v/>
      </c>
      <c r="G71" s="4">
        <f>HYPERLINK("https://musicbrainz.org/search?query="&amp;ENCODEURL(A71&amp;" "&amp;B71)&amp;"&amp;type=recording","🎵 MusicBrainz")</f>
        <v/>
      </c>
      <c r="H71" s="4">
        <f>HYPERLINK("https://repertoire.bmi.com/search?title="&amp;ENCODEURL(B71)&amp;"&amp;searchIn=songview","📋 Songview")</f>
        <v/>
      </c>
      <c r="I71" s="4">
        <f>HYPERLINK("https://www.youtube.com/results?search_query="&amp;ENCODEURL(A71&amp;" "&amp;B71),"▶ YouTube")</f>
        <v/>
      </c>
      <c r="J71" s="4" t="inlineStr"/>
      <c r="K71" s="4" t="inlineStr">
        <is>
          <t>UNKNOWN</t>
        </is>
      </c>
      <c r="L71" t="inlineStr"/>
      <c r="M71" t="inlineStr"/>
    </row>
    <row r="72" ht="20" customHeight="1">
      <c r="A72" s="2" t="inlineStr">
        <is>
          <t>Deitrick Haddon</t>
        </is>
      </c>
      <c r="B72" s="2" t="inlineStr">
        <is>
          <t>Sinner's Prayer (Remix)</t>
        </is>
      </c>
      <c r="C72" s="2" t="inlineStr"/>
      <c r="D72" s="2" t="n">
        <v>0</v>
      </c>
      <c r="E72" s="2" t="inlineStr">
        <is>
          <t>—</t>
        </is>
      </c>
      <c r="F72" s="2">
        <f>HYPERLINK("https://isrc.soundexchange.com/#/search?searchType=name&amp;query="&amp;ENCODEURL(A72&amp;" "&amp;B72),"🔍 Name Search")</f>
        <v/>
      </c>
      <c r="G72" s="2">
        <f>HYPERLINK("https://musicbrainz.org/search?query="&amp;ENCODEURL(A72&amp;" "&amp;B72)&amp;"&amp;type=recording","🎵 MusicBrainz")</f>
        <v/>
      </c>
      <c r="H72" s="2">
        <f>HYPERLINK("https://repertoire.bmi.com/search?title="&amp;ENCODEURL(B72)&amp;"&amp;searchIn=songview","📋 Songview")</f>
        <v/>
      </c>
      <c r="I72" s="2">
        <f>HYPERLINK("https://www.youtube.com/results?search_query="&amp;ENCODEURL(A72&amp;" "&amp;B72),"▶ YouTube")</f>
        <v/>
      </c>
      <c r="J72" s="2" t="inlineStr"/>
      <c r="K72" s="2" t="inlineStr">
        <is>
          <t>UNKNOWN</t>
        </is>
      </c>
      <c r="L72" t="inlineStr"/>
      <c r="M72" t="inlineStr"/>
    </row>
    <row r="73" ht="20" customHeight="1">
      <c r="A73" s="4" t="inlineStr">
        <is>
          <t>William McDowell</t>
        </is>
      </c>
      <c r="B73" s="4" t="inlineStr">
        <is>
          <t>Withholding Nothing (Remix)</t>
        </is>
      </c>
      <c r="C73" s="4" t="inlineStr"/>
      <c r="D73" s="4" t="n">
        <v>0</v>
      </c>
      <c r="E73" s="4" t="inlineStr">
        <is>
          <t>—</t>
        </is>
      </c>
      <c r="F73" s="4">
        <f>HYPERLINK("https://isrc.soundexchange.com/#/search?searchType=name&amp;query="&amp;ENCODEURL(A73&amp;" "&amp;B73),"🔍 Name Search")</f>
        <v/>
      </c>
      <c r="G73" s="4">
        <f>HYPERLINK("https://musicbrainz.org/search?query="&amp;ENCODEURL(A73&amp;" "&amp;B73)&amp;"&amp;type=recording","🎵 MusicBrainz")</f>
        <v/>
      </c>
      <c r="H73" s="4">
        <f>HYPERLINK("https://repertoire.bmi.com/search?title="&amp;ENCODEURL(B73)&amp;"&amp;searchIn=songview","📋 Songview")</f>
        <v/>
      </c>
      <c r="I73" s="4">
        <f>HYPERLINK("https://www.youtube.com/results?search_query="&amp;ENCODEURL(A73&amp;" "&amp;B73),"▶ YouTube")</f>
        <v/>
      </c>
      <c r="J73" s="4" t="inlineStr"/>
      <c r="K73" s="4" t="inlineStr">
        <is>
          <t>UNKNOWN</t>
        </is>
      </c>
      <c r="L73" t="inlineStr"/>
      <c r="M73" t="inlineStr"/>
    </row>
    <row r="74" ht="20" customHeight="1">
      <c r="A74" s="2" t="inlineStr">
        <is>
          <t>William McDowell</t>
        </is>
      </c>
      <c r="B74" s="2" t="inlineStr">
        <is>
          <t>Sounds of Heaven (Remix)</t>
        </is>
      </c>
      <c r="C74" s="2" t="inlineStr"/>
      <c r="D74" s="2" t="n">
        <v>0</v>
      </c>
      <c r="E74" s="2" t="inlineStr">
        <is>
          <t>—</t>
        </is>
      </c>
      <c r="F74" s="2">
        <f>HYPERLINK("https://isrc.soundexchange.com/#/search?searchType=name&amp;query="&amp;ENCODEURL(A74&amp;" "&amp;B74),"🔍 Name Search")</f>
        <v/>
      </c>
      <c r="G74" s="2">
        <f>HYPERLINK("https://musicbrainz.org/search?query="&amp;ENCODEURL(A74&amp;" "&amp;B74)&amp;"&amp;type=recording","🎵 MusicBrainz")</f>
        <v/>
      </c>
      <c r="H74" s="2">
        <f>HYPERLINK("https://repertoire.bmi.com/search?title="&amp;ENCODEURL(B74)&amp;"&amp;searchIn=songview","📋 Songview")</f>
        <v/>
      </c>
      <c r="I74" s="2">
        <f>HYPERLINK("https://www.youtube.com/results?search_query="&amp;ENCODEURL(A74&amp;" "&amp;B74),"▶ YouTube")</f>
        <v/>
      </c>
      <c r="J74" s="2" t="inlineStr"/>
      <c r="K74" s="2" t="inlineStr">
        <is>
          <t>UNKNOWN</t>
        </is>
      </c>
      <c r="L74" t="inlineStr"/>
      <c r="M74" t="inlineStr"/>
    </row>
    <row r="75" ht="20" customHeight="1">
      <c r="A75" s="4" t="inlineStr">
        <is>
          <t>DOE</t>
        </is>
      </c>
      <c r="B75" s="4" t="inlineStr">
        <is>
          <t>Testimony (Remix)</t>
        </is>
      </c>
      <c r="C75" s="4" t="inlineStr">
        <is>
          <t>QZJG51972400</t>
        </is>
      </c>
      <c r="D75" s="4" t="n">
        <v>0</v>
      </c>
      <c r="E75" s="4">
        <f>HYPERLINK("https://isrc.soundexchange.com/#/search?searchType=code&amp;query=QZJG51972400","🔍 ISRC Search")</f>
        <v/>
      </c>
      <c r="F75" s="4">
        <f>HYPERLINK("https://isrc.soundexchange.com/#/search?searchType=name&amp;query="&amp;ENCODEURL(A75&amp;" "&amp;B75),"🔍 Name Search")</f>
        <v/>
      </c>
      <c r="G75" s="4">
        <f>HYPERLINK("https://musicbrainz.org/isrc/QZJG51972400","🎵 MusicBrainz")</f>
        <v/>
      </c>
      <c r="H75" s="4">
        <f>HYPERLINK("https://repertoire.bmi.com/search?title="&amp;ENCODEURL(B75)&amp;"&amp;searchIn=songview","📋 Songview")</f>
        <v/>
      </c>
      <c r="I75" s="4">
        <f>HYPERLINK("https://www.youtube.com/results?search_query="&amp;ENCODEURL(A75&amp;" "&amp;B75),"▶ YouTube")</f>
        <v/>
      </c>
      <c r="J75" s="4" t="inlineStr">
        <is>
          <t>2019-12-06</t>
        </is>
      </c>
      <c r="K75" s="8" t="inlineStr">
        <is>
          <t>PARTIAL (2019)</t>
        </is>
      </c>
      <c r="L75" t="inlineStr"/>
      <c r="M75" t="inlineStr"/>
    </row>
    <row r="76" ht="20" customHeight="1">
      <c r="A76" s="2" t="inlineStr">
        <is>
          <t>Hezekiah Walker</t>
        </is>
      </c>
      <c r="B76" s="2" t="inlineStr">
        <is>
          <t>Every Praise (Remix)</t>
        </is>
      </c>
      <c r="C76" s="2" t="inlineStr"/>
      <c r="D76" s="2" t="n">
        <v>0</v>
      </c>
      <c r="E76" s="2" t="inlineStr">
        <is>
          <t>—</t>
        </is>
      </c>
      <c r="F76" s="2">
        <f>HYPERLINK("https://isrc.soundexchange.com/#/search?searchType=name&amp;query="&amp;ENCODEURL(A76&amp;" "&amp;B76),"🔍 Name Search")</f>
        <v/>
      </c>
      <c r="G76" s="2">
        <f>HYPERLINK("https://musicbrainz.org/search?query="&amp;ENCODEURL(A76&amp;" "&amp;B76)&amp;"&amp;type=recording","🎵 MusicBrainz")</f>
        <v/>
      </c>
      <c r="H76" s="2">
        <f>HYPERLINK("https://repertoire.bmi.com/search?title="&amp;ENCODEURL(B76)&amp;"&amp;searchIn=songview","📋 Songview")</f>
        <v/>
      </c>
      <c r="I76" s="2">
        <f>HYPERLINK("https://www.youtube.com/results?search_query="&amp;ENCODEURL(A76&amp;" "&amp;B76),"▶ YouTube")</f>
        <v/>
      </c>
      <c r="J76" s="2" t="inlineStr"/>
      <c r="K76" s="2" t="inlineStr">
        <is>
          <t>UNKNOWN</t>
        </is>
      </c>
      <c r="L76" t="inlineStr"/>
      <c r="M76" t="inlineStr"/>
    </row>
    <row r="77" ht="20" customHeight="1">
      <c r="A77" s="4" t="inlineStr">
        <is>
          <t>Hezekiah Walker</t>
        </is>
      </c>
      <c r="B77" s="4" t="inlineStr">
        <is>
          <t>Better (Remix) ft. Donald Lawrence</t>
        </is>
      </c>
      <c r="C77" s="4" t="inlineStr"/>
      <c r="D77" s="4" t="n">
        <v>0</v>
      </c>
      <c r="E77" s="4" t="inlineStr">
        <is>
          <t>—</t>
        </is>
      </c>
      <c r="F77" s="4">
        <f>HYPERLINK("https://isrc.soundexchange.com/#/search?searchType=name&amp;query="&amp;ENCODEURL(A77&amp;" "&amp;B77),"🔍 Name Search")</f>
        <v/>
      </c>
      <c r="G77" s="4">
        <f>HYPERLINK("https://musicbrainz.org/search?query="&amp;ENCODEURL(A77&amp;" "&amp;B77)&amp;"&amp;type=recording","🎵 MusicBrainz")</f>
        <v/>
      </c>
      <c r="H77" s="4">
        <f>HYPERLINK("https://repertoire.bmi.com/search?title="&amp;ENCODEURL(B77)&amp;"&amp;searchIn=songview","📋 Songview")</f>
        <v/>
      </c>
      <c r="I77" s="4">
        <f>HYPERLINK("https://www.youtube.com/results?search_query="&amp;ENCODEURL(A77&amp;" "&amp;B77),"▶ YouTube")</f>
        <v/>
      </c>
      <c r="J77" s="4" t="inlineStr"/>
      <c r="K77" s="4" t="inlineStr">
        <is>
          <t>UNKNOWN</t>
        </is>
      </c>
      <c r="L77" t="inlineStr"/>
      <c r="M77" t="inlineStr"/>
    </row>
    <row r="78" ht="20" customHeight="1">
      <c r="A78" s="2" t="inlineStr">
        <is>
          <t>Fred Hammond</t>
        </is>
      </c>
      <c r="B78" s="2" t="inlineStr">
        <is>
          <t>No Weapon (Remix)</t>
        </is>
      </c>
      <c r="C78" s="2" t="inlineStr">
        <is>
          <t>USA5W2300780</t>
        </is>
      </c>
      <c r="D78" s="2" t="n">
        <v>0</v>
      </c>
      <c r="E78" s="2">
        <f>HYPERLINK("https://isrc.soundexchange.com/#/search?searchType=code&amp;query=USA5W2300780","🔍 ISRC Search")</f>
        <v/>
      </c>
      <c r="F78" s="2">
        <f>HYPERLINK("https://isrc.soundexchange.com/#/search?searchType=name&amp;query="&amp;ENCODEURL(A78&amp;" "&amp;B78),"🔍 Name Search")</f>
        <v/>
      </c>
      <c r="G78" s="2">
        <f>HYPERLINK("https://musicbrainz.org/isrc/USA5W2300780","🎵 MusicBrainz")</f>
        <v/>
      </c>
      <c r="H78" s="2">
        <f>HYPERLINK("https://repertoire.bmi.com/search?title="&amp;ENCODEURL(B78)&amp;"&amp;searchIn=songview","📋 Songview")</f>
        <v/>
      </c>
      <c r="I78" s="2">
        <f>HYPERLINK("https://www.youtube.com/results?search_query="&amp;ENCODEURL(A78&amp;" "&amp;B78),"▶ YouTube")</f>
        <v/>
      </c>
      <c r="J78" s="2" t="inlineStr">
        <is>
          <t>1998-01-27</t>
        </is>
      </c>
      <c r="K78" s="6" t="inlineStr">
        <is>
          <t>CHECK — streaming? (1998)</t>
        </is>
      </c>
      <c r="L78" t="inlineStr"/>
      <c r="M78" t="inlineStr"/>
    </row>
    <row r="79" ht="20" customHeight="1">
      <c r="A79" s="4" t="inlineStr">
        <is>
          <t>Fred Hammond</t>
        </is>
      </c>
      <c r="B79" s="4" t="inlineStr">
        <is>
          <t>Glorious (Remix)</t>
        </is>
      </c>
      <c r="C79" s="4" t="inlineStr"/>
      <c r="D79" s="4" t="n">
        <v>0</v>
      </c>
      <c r="E79" s="4" t="inlineStr">
        <is>
          <t>—</t>
        </is>
      </c>
      <c r="F79" s="4">
        <f>HYPERLINK("https://isrc.soundexchange.com/#/search?searchType=name&amp;query="&amp;ENCODEURL(A79&amp;" "&amp;B79),"🔍 Name Search")</f>
        <v/>
      </c>
      <c r="G79" s="4">
        <f>HYPERLINK("https://musicbrainz.org/search?query="&amp;ENCODEURL(A79&amp;" "&amp;B79)&amp;"&amp;type=recording","🎵 MusicBrainz")</f>
        <v/>
      </c>
      <c r="H79" s="4">
        <f>HYPERLINK("https://repertoire.bmi.com/search?title="&amp;ENCODEURL(B79)&amp;"&amp;searchIn=songview","📋 Songview")</f>
        <v/>
      </c>
      <c r="I79" s="4">
        <f>HYPERLINK("https://www.youtube.com/results?search_query="&amp;ENCODEURL(A79&amp;" "&amp;B79),"▶ YouTube")</f>
        <v/>
      </c>
      <c r="J79" s="4" t="inlineStr"/>
      <c r="K79" s="4" t="inlineStr">
        <is>
          <t>UNKNOWN</t>
        </is>
      </c>
      <c r="L79" t="inlineStr"/>
      <c r="M79" t="inlineStr"/>
    </row>
    <row r="80" ht="20" customHeight="1">
      <c r="A80" s="2" t="inlineStr">
        <is>
          <t>Donald Lawrence</t>
        </is>
      </c>
      <c r="B80" s="2" t="inlineStr">
        <is>
          <t>Encourage Yourself (Remix)</t>
        </is>
      </c>
      <c r="C80" s="2" t="inlineStr"/>
      <c r="D80" s="2" t="n">
        <v>0</v>
      </c>
      <c r="E80" s="2" t="inlineStr">
        <is>
          <t>—</t>
        </is>
      </c>
      <c r="F80" s="2">
        <f>HYPERLINK("https://isrc.soundexchange.com/#/search?searchType=name&amp;query="&amp;ENCODEURL(A80&amp;" "&amp;B80),"🔍 Name Search")</f>
        <v/>
      </c>
      <c r="G80" s="2">
        <f>HYPERLINK("https://musicbrainz.org/search?query="&amp;ENCODEURL(A80&amp;" "&amp;B80)&amp;"&amp;type=recording","🎵 MusicBrainz")</f>
        <v/>
      </c>
      <c r="H80" s="2">
        <f>HYPERLINK("https://repertoire.bmi.com/search?title="&amp;ENCODEURL(B80)&amp;"&amp;searchIn=songview","📋 Songview")</f>
        <v/>
      </c>
      <c r="I80" s="2">
        <f>HYPERLINK("https://www.youtube.com/results?search_query="&amp;ENCODEURL(A80&amp;" "&amp;B80),"▶ YouTube")</f>
        <v/>
      </c>
      <c r="J80" s="2" t="inlineStr"/>
      <c r="K80" s="2" t="inlineStr">
        <is>
          <t>UNKNOWN</t>
        </is>
      </c>
      <c r="L80" t="inlineStr"/>
      <c r="M80" t="inlineStr"/>
    </row>
    <row r="81" ht="20" customHeight="1">
      <c r="A81" s="4" t="inlineStr">
        <is>
          <t>Donald Lawrence</t>
        </is>
      </c>
      <c r="B81" s="4" t="inlineStr">
        <is>
          <t>I Am God (Remix) ft. Le'Andria Johnson</t>
        </is>
      </c>
      <c r="C81" s="4" t="inlineStr"/>
      <c r="D81" s="4" t="n">
        <v>0</v>
      </c>
      <c r="E81" s="4" t="inlineStr">
        <is>
          <t>—</t>
        </is>
      </c>
      <c r="F81" s="4">
        <f>HYPERLINK("https://isrc.soundexchange.com/#/search?searchType=name&amp;query="&amp;ENCODEURL(A81&amp;" "&amp;B81),"🔍 Name Search")</f>
        <v/>
      </c>
      <c r="G81" s="4">
        <f>HYPERLINK("https://musicbrainz.org/search?query="&amp;ENCODEURL(A81&amp;" "&amp;B81)&amp;"&amp;type=recording","🎵 MusicBrainz")</f>
        <v/>
      </c>
      <c r="H81" s="4">
        <f>HYPERLINK("https://repertoire.bmi.com/search?title="&amp;ENCODEURL(B81)&amp;"&amp;searchIn=songview","📋 Songview")</f>
        <v/>
      </c>
      <c r="I81" s="4">
        <f>HYPERLINK("https://www.youtube.com/results?search_query="&amp;ENCODEURL(A81&amp;" "&amp;B81),"▶ YouTube")</f>
        <v/>
      </c>
      <c r="J81" s="4" t="inlineStr"/>
      <c r="K81" s="4" t="inlineStr">
        <is>
          <t>UNKNOWN</t>
        </is>
      </c>
      <c r="L81" t="inlineStr"/>
      <c r="M81" t="inlineStr"/>
    </row>
    <row r="82" ht="20" customHeight="1">
      <c r="A82" s="2" t="inlineStr">
        <is>
          <t>Jekalyn Carr</t>
        </is>
      </c>
      <c r="B82" s="2" t="inlineStr">
        <is>
          <t>You're Bigger (Remix)</t>
        </is>
      </c>
      <c r="C82" s="2" t="inlineStr"/>
      <c r="D82" s="2" t="n">
        <v>0</v>
      </c>
      <c r="E82" s="2" t="inlineStr">
        <is>
          <t>—</t>
        </is>
      </c>
      <c r="F82" s="2">
        <f>HYPERLINK("https://isrc.soundexchange.com/#/search?searchType=name&amp;query="&amp;ENCODEURL(A82&amp;" "&amp;B82),"🔍 Name Search")</f>
        <v/>
      </c>
      <c r="G82" s="2">
        <f>HYPERLINK("https://musicbrainz.org/search?query="&amp;ENCODEURL(A82&amp;" "&amp;B82)&amp;"&amp;type=recording","🎵 MusicBrainz")</f>
        <v/>
      </c>
      <c r="H82" s="2">
        <f>HYPERLINK("https://repertoire.bmi.com/search?title="&amp;ENCODEURL(B82)&amp;"&amp;searchIn=songview","📋 Songview")</f>
        <v/>
      </c>
      <c r="I82" s="2">
        <f>HYPERLINK("https://www.youtube.com/results?search_query="&amp;ENCODEURL(A82&amp;" "&amp;B82),"▶ YouTube")</f>
        <v/>
      </c>
      <c r="J82" s="2" t="inlineStr"/>
      <c r="K82" s="2" t="inlineStr">
        <is>
          <t>UNKNOWN</t>
        </is>
      </c>
      <c r="L82" t="inlineStr"/>
      <c r="M82" t="inlineStr"/>
    </row>
    <row r="83" ht="20" customHeight="1">
      <c r="A83" s="4" t="inlineStr">
        <is>
          <t>Jekalyn Carr</t>
        </is>
      </c>
      <c r="B83" s="4" t="inlineStr">
        <is>
          <t>Greater Is Coming (Remix)</t>
        </is>
      </c>
      <c r="C83" s="4" t="inlineStr"/>
      <c r="D83" s="4" t="n">
        <v>0</v>
      </c>
      <c r="E83" s="4" t="inlineStr">
        <is>
          <t>—</t>
        </is>
      </c>
      <c r="F83" s="4">
        <f>HYPERLINK("https://isrc.soundexchange.com/#/search?searchType=name&amp;query="&amp;ENCODEURL(A83&amp;" "&amp;B83),"🔍 Name Search")</f>
        <v/>
      </c>
      <c r="G83" s="4">
        <f>HYPERLINK("https://musicbrainz.org/search?query="&amp;ENCODEURL(A83&amp;" "&amp;B83)&amp;"&amp;type=recording","🎵 MusicBrainz")</f>
        <v/>
      </c>
      <c r="H83" s="4">
        <f>HYPERLINK("https://repertoire.bmi.com/search?title="&amp;ENCODEURL(B83)&amp;"&amp;searchIn=songview","📋 Songview")</f>
        <v/>
      </c>
      <c r="I83" s="4">
        <f>HYPERLINK("https://www.youtube.com/results?search_query="&amp;ENCODEURL(A83&amp;" "&amp;B83),"▶ YouTube")</f>
        <v/>
      </c>
      <c r="J83" s="4" t="inlineStr"/>
      <c r="K83" s="4" t="inlineStr">
        <is>
          <t>UNKNOWN</t>
        </is>
      </c>
      <c r="L83" t="inlineStr"/>
      <c r="M83" t="inlineStr"/>
    </row>
    <row r="84" ht="20" customHeight="1">
      <c r="A84" s="2" t="inlineStr">
        <is>
          <t>Jekalyn Carr</t>
        </is>
      </c>
      <c r="B84" s="2" t="inlineStr">
        <is>
          <t>One Nation Under God (Remix)</t>
        </is>
      </c>
      <c r="C84" s="2" t="inlineStr"/>
      <c r="D84" s="2" t="n">
        <v>0</v>
      </c>
      <c r="E84" s="2" t="inlineStr">
        <is>
          <t>—</t>
        </is>
      </c>
      <c r="F84" s="2">
        <f>HYPERLINK("https://isrc.soundexchange.com/#/search?searchType=name&amp;query="&amp;ENCODEURL(A84&amp;" "&amp;B84),"🔍 Name Search")</f>
        <v/>
      </c>
      <c r="G84" s="2">
        <f>HYPERLINK("https://musicbrainz.org/search?query="&amp;ENCODEURL(A84&amp;" "&amp;B84)&amp;"&amp;type=recording","🎵 MusicBrainz")</f>
        <v/>
      </c>
      <c r="H84" s="2">
        <f>HYPERLINK("https://repertoire.bmi.com/search?title="&amp;ENCODEURL(B84)&amp;"&amp;searchIn=songview","📋 Songview")</f>
        <v/>
      </c>
      <c r="I84" s="2">
        <f>HYPERLINK("https://www.youtube.com/results?search_query="&amp;ENCODEURL(A84&amp;" "&amp;B84),"▶ YouTube")</f>
        <v/>
      </c>
      <c r="J84" s="2" t="inlineStr"/>
      <c r="K84" s="2" t="inlineStr">
        <is>
          <t>UNKNOWN</t>
        </is>
      </c>
      <c r="L84" t="inlineStr"/>
      <c r="M84" t="inlineStr"/>
    </row>
  </sheetData>
  <conditionalFormatting sqref="L2:L84">
    <cfRule type="expression" priority="1" dxfId="0">
      <formula>NOT(ISERROR(SEARCH("JACKPOT",J2)))</formula>
    </cfRule>
    <cfRule type="expression" priority="2" dxfId="1">
      <formula>NOT(ISERROR(SEARCH("GUEST_UNCLAIMED",J2)))</formula>
    </cfRule>
    <cfRule type="expression" priority="3" dxfId="2">
      <formula>NOT(ISERROR(SEARCH("False Positive",J2)))</formula>
    </cfRule>
    <cfRule type="expression" priority="4" dxfId="3">
      <formula>NOT(ISERROR(SEARCH("Needs Check",J2)))</formula>
    </cfRule>
  </conditionalFormatting>
  <conditionalFormatting sqref="D2:D84">
    <cfRule type="cellIs" priority="5" operator="greaterThan" dxfId="4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2026-03-24T15:31:09Z</dcterms:created>
  <dcterms:modified xsi:type="dcterms:W3CDTF">2026-03-24T15:31:09Z</dcterms:modified>
</cp:coreProperties>
</file>